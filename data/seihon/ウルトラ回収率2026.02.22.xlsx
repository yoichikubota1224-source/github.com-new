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小倉ウルトラ追記" sheetId="1" state="visible" r:id="rId1"/>
    <sheet xmlns:r="http://schemas.openxmlformats.org/officeDocument/2006/relationships" name="当日該当レース" sheetId="2" state="visible" r:id="rId2"/>
    <sheet xmlns:r="http://schemas.openxmlformats.org/officeDocument/2006/relationships" name="騎手回収率データ" sheetId="3" state="visible" r:id="rId3"/>
    <sheet xmlns:r="http://schemas.openxmlformats.org/officeDocument/2006/relationships" name="実戦ログ" sheetId="4" state="visible" r:id="rId4"/>
    <sheet xmlns:r="http://schemas.openxmlformats.org/officeDocument/2006/relationships" name="東京芝ウルトラ追記" sheetId="5" state="visible" r:id="rId5"/>
    <sheet xmlns:r="http://schemas.openxmlformats.org/officeDocument/2006/relationships" name="東京波乱度" sheetId="6" state="visible" r:id="rId6"/>
    <sheet xmlns:r="http://schemas.openxmlformats.org/officeDocument/2006/relationships" name="京都ウルトラ追記" sheetId="7" state="visible" r:id="rId7"/>
    <sheet xmlns:r="http://schemas.openxmlformats.org/officeDocument/2006/relationships" name="京都波乱度" sheetId="8" state="visible" r:id="rId8"/>
    <sheet xmlns:r="http://schemas.openxmlformats.org/officeDocument/2006/relationships" name="阪神ウルトラ追記" sheetId="9" state="visible" r:id="rId9"/>
    <sheet xmlns:r="http://schemas.openxmlformats.org/officeDocument/2006/relationships" name="阪神波乱度" sheetId="10" state="visible" r:id="rId10"/>
    <sheet xmlns:r="http://schemas.openxmlformats.org/officeDocument/2006/relationships" name="ウルトラ一覧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49" fontId="0" fillId="0" borderId="1" pivotButton="0" quotePrefix="0" xfId="0"/>
    <xf numFmtId="49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L5"/>
    </sheetView>
  </sheetViews>
  <sheetFormatPr baseColWidth="8" defaultRowHeight="13"/>
  <sheetData>
    <row r="1">
      <c r="A1" s="2" t="inlineStr">
        <is>
          <t>No</t>
        </is>
      </c>
      <c r="B1" s="2" t="inlineStr">
        <is>
          <t>競馬場</t>
        </is>
      </c>
      <c r="C1" s="2" t="inlineStr">
        <is>
          <t>距離</t>
        </is>
      </c>
      <c r="D1" s="2" t="inlineStr">
        <is>
          <t>芝/ダ</t>
        </is>
      </c>
      <c r="E1" s="2" t="inlineStr">
        <is>
          <t>条件①</t>
        </is>
      </c>
      <c r="F1" s="2" t="inlineStr">
        <is>
          <t>条件②</t>
        </is>
      </c>
      <c r="G1" s="2" t="inlineStr">
        <is>
          <t>条件③</t>
        </is>
      </c>
      <c r="H1" s="2" t="inlineStr">
        <is>
          <t>3着内率(%)</t>
        </is>
      </c>
      <c r="I1" s="2" t="inlineStr">
        <is>
          <t>単回収率(%)</t>
        </is>
      </c>
      <c r="J1" s="2" t="inlineStr">
        <is>
          <t>複回収率(%)</t>
        </is>
      </c>
      <c r="K1" s="2" t="inlineStr">
        <is>
          <t>推奨券種</t>
        </is>
      </c>
      <c r="L1" s="2" t="inlineStr">
        <is>
          <t>使用可否</t>
        </is>
      </c>
    </row>
    <row r="2">
      <c r="A2" s="1" t="n">
        <v>1</v>
      </c>
      <c r="B2" s="1" t="inlineStr">
        <is>
          <t>小倉</t>
        </is>
      </c>
      <c r="C2" s="1" t="inlineStr">
        <is>
          <t>芝1200</t>
        </is>
      </c>
      <c r="D2" s="1" t="inlineStr">
        <is>
          <t>芝</t>
        </is>
      </c>
      <c r="E2" s="1" t="inlineStr">
        <is>
          <t>前走京都芝1200内</t>
        </is>
      </c>
      <c r="F2" s="1" t="inlineStr">
        <is>
          <t>4角5番手以内</t>
        </is>
      </c>
      <c r="G2" s="1" t="inlineStr">
        <is>
          <t>3～8枠</t>
        </is>
      </c>
      <c r="H2" s="1" t="n">
        <v>34.8</v>
      </c>
      <c r="I2" s="1" t="n">
        <v>79</v>
      </c>
      <c r="J2" s="1" t="n">
        <v>183</v>
      </c>
      <c r="K2" s="1" t="inlineStr">
        <is>
          <t>複勝</t>
        </is>
      </c>
      <c r="L2" s="1" t="inlineStr">
        <is>
          <t>◎</t>
        </is>
      </c>
    </row>
    <row r="3">
      <c r="A3" s="1" t="n">
        <v>2</v>
      </c>
      <c r="B3" s="1" t="inlineStr">
        <is>
          <t>小倉</t>
        </is>
      </c>
      <c r="C3" s="1" t="inlineStr">
        <is>
          <t>芝1800</t>
        </is>
      </c>
      <c r="D3" s="1" t="inlineStr">
        <is>
          <t>芝</t>
        </is>
      </c>
      <c r="E3" s="1" t="inlineStr">
        <is>
          <t>父ダンジグ系</t>
        </is>
      </c>
      <c r="F3" s="1" t="inlineStr">
        <is>
          <t>関西馬</t>
        </is>
      </c>
      <c r="G3" s="1" t="inlineStr">
        <is>
          <t>1～12番</t>
        </is>
      </c>
      <c r="H3" s="1" t="n">
        <v>37.3</v>
      </c>
      <c r="I3" s="1" t="n">
        <v>70</v>
      </c>
      <c r="J3" s="1" t="n">
        <v>243</v>
      </c>
      <c r="K3" s="1" t="inlineStr">
        <is>
          <t>複勝</t>
        </is>
      </c>
      <c r="L3" s="1" t="inlineStr">
        <is>
          <t>◎</t>
        </is>
      </c>
    </row>
    <row r="4">
      <c r="A4" s="1" t="n">
        <v>3</v>
      </c>
      <c r="B4" s="1" t="inlineStr">
        <is>
          <t>小倉</t>
        </is>
      </c>
      <c r="C4" s="1" t="inlineStr">
        <is>
          <t>芝2000</t>
        </is>
      </c>
      <c r="D4" s="1" t="inlineStr">
        <is>
          <t>芝</t>
        </is>
      </c>
      <c r="E4" s="1" t="inlineStr">
        <is>
          <t>父ロベルト系</t>
        </is>
      </c>
      <c r="F4" s="1" t="inlineStr">
        <is>
          <t>1～7番</t>
        </is>
      </c>
      <c r="G4" s="1" t="inlineStr">
        <is>
          <t>16頭以下</t>
        </is>
      </c>
      <c r="H4" s="1" t="n">
        <v>39.6</v>
      </c>
      <c r="I4" s="1" t="n">
        <v>154</v>
      </c>
      <c r="J4" s="1" t="n">
        <v>155</v>
      </c>
      <c r="K4" s="1" t="inlineStr">
        <is>
          <t>単勝可</t>
        </is>
      </c>
      <c r="L4" s="1" t="inlineStr">
        <is>
          <t>◎</t>
        </is>
      </c>
    </row>
    <row r="5">
      <c r="A5" s="1" t="n">
        <v>4</v>
      </c>
      <c r="B5" s="1" t="inlineStr">
        <is>
          <t>小倉</t>
        </is>
      </c>
      <c r="C5" s="1" t="inlineStr">
        <is>
          <t>ダ1000</t>
        </is>
      </c>
      <c r="D5" s="1" t="inlineStr">
        <is>
          <t>ダ</t>
        </is>
      </c>
      <c r="E5" s="1" t="inlineStr">
        <is>
          <t>最内枠</t>
        </is>
      </c>
      <c r="F5" s="1" t="inlineStr">
        <is>
          <t>56kg以下</t>
        </is>
      </c>
      <c r="G5" s="1" t="inlineStr">
        <is>
          <t>関西馬</t>
        </is>
      </c>
      <c r="H5" s="1" t="n">
        <v>48.7</v>
      </c>
      <c r="I5" s="1" t="n">
        <v>51</v>
      </c>
      <c r="J5" s="1" t="n">
        <v>159</v>
      </c>
      <c r="K5" s="1" t="inlineStr">
        <is>
          <t>複勝</t>
        </is>
      </c>
      <c r="L5" s="1" t="inlineStr">
        <is>
          <t>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:J16"/>
    </sheetView>
  </sheetViews>
  <sheetFormatPr baseColWidth="8" defaultRowHeight="13"/>
  <cols>
    <col width="22" customWidth="1" min="11" max="11"/>
    <col width="22" customWidth="1" min="12" max="12"/>
    <col width="22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日付</t>
        </is>
      </c>
      <c r="B1" s="2" t="inlineStr">
        <is>
          <t>R</t>
        </is>
      </c>
      <c r="C1" s="2" t="inlineStr">
        <is>
          <t>馬名</t>
        </is>
      </c>
      <c r="D1" s="2" t="inlineStr">
        <is>
          <t>テンプレNo</t>
        </is>
      </c>
      <c r="E1" s="2" t="inlineStr">
        <is>
          <t>単勝オッズ</t>
        </is>
      </c>
      <c r="F1" s="2" t="inlineStr">
        <is>
          <t>複勝上限</t>
        </is>
      </c>
      <c r="G1" s="2" t="inlineStr">
        <is>
          <t>購入可否</t>
        </is>
      </c>
      <c r="H1" s="2" t="inlineStr">
        <is>
          <t>結果</t>
        </is>
      </c>
      <c r="I1" s="2" t="inlineStr">
        <is>
          <t>回収率(%)</t>
        </is>
      </c>
      <c r="J1" s="2" t="inlineStr">
        <is>
          <t>メモ</t>
        </is>
      </c>
      <c r="K1" s="2" t="inlineStr">
        <is>
          <t>コース</t>
        </is>
      </c>
      <c r="L1" s="2" t="inlineStr">
        <is>
          <t>条件①</t>
        </is>
      </c>
      <c r="M1" s="2" t="inlineStr">
        <is>
          <t>条件②</t>
        </is>
      </c>
      <c r="N1" s="2" t="inlineStr">
        <is>
          <t>3着内率</t>
        </is>
      </c>
      <c r="O1" s="2" t="inlineStr">
        <is>
          <t>単回</t>
        </is>
      </c>
      <c r="P1" s="2" t="inlineStr">
        <is>
          <t>複回</t>
        </is>
      </c>
    </row>
    <row r="2">
      <c r="A2" s="1" t="n"/>
      <c r="B2" s="1" t="n"/>
      <c r="C2" s="1" t="n"/>
      <c r="D2" s="3" t="n"/>
      <c r="E2" s="1" t="n"/>
      <c r="F2" s="1" t="n"/>
      <c r="G2" s="1" t="n"/>
      <c r="H2" s="1" t="n"/>
      <c r="I2" s="1" t="n"/>
      <c r="J2" s="1" t="n"/>
      <c r="K2">
        <f>IFERROR(VLOOKUP($D2,ウルトラ一覧!$A:$L,2,FALSE),"")</f>
        <v/>
      </c>
      <c r="L2">
        <f>IFERROR(VLOOKUP($D2,ウルトラ一覧!$A:$L,3,FALSE),"")</f>
        <v/>
      </c>
      <c r="M2">
        <f>IFERROR(VLOOKUP($D2,ウルトラ一覧!$A:$L,4,FALSE),"")</f>
        <v/>
      </c>
      <c r="N2">
        <f>IFERROR(VLOOKUP($D2,ウルトラ一覧!$A:$L,8,FALSE),"")</f>
        <v/>
      </c>
      <c r="O2">
        <f>IFERROR(VLOOKUP($D2,ウルトラ一覧!$A:$L,9,FALSE),"")</f>
        <v/>
      </c>
      <c r="P2">
        <f>IFERROR(VLOOKUP($D2,ウルトラ一覧!$A:$L,10,FALSE),"")</f>
        <v/>
      </c>
    </row>
    <row r="3">
      <c r="A3" s="1" t="n"/>
      <c r="B3" s="1" t="n"/>
      <c r="C3" s="1" t="n"/>
      <c r="D3" s="3" t="n"/>
      <c r="E3" s="1" t="n"/>
      <c r="F3" s="1" t="n"/>
      <c r="G3" s="1" t="n"/>
      <c r="H3" s="1" t="n"/>
      <c r="I3" s="1" t="n"/>
      <c r="J3" s="1" t="n"/>
      <c r="K3">
        <f>IFERROR(VLOOKUP($D3,ウルトラ一覧!$A:$L,2,FALSE),"")</f>
        <v/>
      </c>
      <c r="L3">
        <f>IFERROR(VLOOKUP($D3,ウルトラ一覧!$A:$L,3,FALSE),"")</f>
        <v/>
      </c>
      <c r="M3">
        <f>IFERROR(VLOOKUP($D3,ウルトラ一覧!$A:$L,4,FALSE),"")</f>
        <v/>
      </c>
      <c r="N3">
        <f>IFERROR(VLOOKUP($D3,ウルトラ一覧!$A:$L,8,FALSE),"")</f>
        <v/>
      </c>
      <c r="O3">
        <f>IFERROR(VLOOKUP($D3,ウルトラ一覧!$A:$L,9,FALSE),"")</f>
        <v/>
      </c>
      <c r="P3">
        <f>IFERROR(VLOOKUP($D3,ウルトラ一覧!$A:$L,10,FALSE),"")</f>
        <v/>
      </c>
    </row>
    <row r="4">
      <c r="A4" s="1" t="n"/>
      <c r="B4" s="1" t="n"/>
      <c r="C4" s="1" t="n"/>
      <c r="D4" s="3" t="n"/>
      <c r="E4" s="1" t="n"/>
      <c r="F4" s="1" t="n"/>
      <c r="G4" s="1" t="n"/>
      <c r="H4" s="1" t="n"/>
      <c r="I4" s="1" t="n"/>
      <c r="J4" s="1" t="n"/>
      <c r="K4">
        <f>IFERROR(VLOOKUP($D4,ウルトラ一覧!$A:$L,2,FALSE),"")</f>
        <v/>
      </c>
      <c r="L4">
        <f>IFERROR(VLOOKUP($D4,ウルトラ一覧!$A:$L,3,FALSE),"")</f>
        <v/>
      </c>
      <c r="M4">
        <f>IFERROR(VLOOKUP($D4,ウルトラ一覧!$A:$L,4,FALSE),"")</f>
        <v/>
      </c>
      <c r="N4">
        <f>IFERROR(VLOOKUP($D4,ウルトラ一覧!$A:$L,8,FALSE),"")</f>
        <v/>
      </c>
      <c r="O4">
        <f>IFERROR(VLOOKUP($D4,ウルトラ一覧!$A:$L,9,FALSE),"")</f>
        <v/>
      </c>
      <c r="P4">
        <f>IFERROR(VLOOKUP($D4,ウルトラ一覧!$A:$L,10,FALSE),"")</f>
        <v/>
      </c>
    </row>
    <row r="5">
      <c r="A5" s="1" t="n"/>
      <c r="B5" s="1" t="n"/>
      <c r="C5" s="1" t="n"/>
      <c r="D5" s="3" t="n"/>
      <c r="E5" s="1" t="n"/>
      <c r="F5" s="1" t="n"/>
      <c r="G5" s="1" t="n"/>
      <c r="H5" s="1" t="n"/>
      <c r="I5" s="1" t="n"/>
      <c r="J5" s="1" t="n"/>
      <c r="K5">
        <f>IFERROR(VLOOKUP($D5,ウルトラ一覧!$A:$L,2,FALSE),"")</f>
        <v/>
      </c>
      <c r="L5">
        <f>IFERROR(VLOOKUP($D5,ウルトラ一覧!$A:$L,3,FALSE),"")</f>
        <v/>
      </c>
      <c r="M5">
        <f>IFERROR(VLOOKUP($D5,ウルトラ一覧!$A:$L,4,FALSE),"")</f>
        <v/>
      </c>
      <c r="N5">
        <f>IFERROR(VLOOKUP($D5,ウルトラ一覧!$A:$L,8,FALSE),"")</f>
        <v/>
      </c>
      <c r="O5">
        <f>IFERROR(VLOOKUP($D5,ウルトラ一覧!$A:$L,9,FALSE),"")</f>
        <v/>
      </c>
      <c r="P5">
        <f>IFERROR(VLOOKUP($D5,ウルトラ一覧!$A:$L,10,FALSE),"")</f>
        <v/>
      </c>
    </row>
    <row r="6">
      <c r="A6" s="1" t="n"/>
      <c r="B6" s="1" t="n"/>
      <c r="C6" s="1" t="n"/>
      <c r="D6" s="3" t="n"/>
      <c r="E6" s="1" t="n"/>
      <c r="F6" s="1" t="n"/>
      <c r="G6" s="1" t="n"/>
      <c r="H6" s="1" t="n"/>
      <c r="I6" s="1" t="n"/>
      <c r="J6" s="1" t="n"/>
      <c r="K6">
        <f>IFERROR(VLOOKUP($D6,ウルトラ一覧!$A:$L,2,FALSE),"")</f>
        <v/>
      </c>
      <c r="L6">
        <f>IFERROR(VLOOKUP($D6,ウルトラ一覧!$A:$L,3,FALSE),"")</f>
        <v/>
      </c>
      <c r="M6">
        <f>IFERROR(VLOOKUP($D6,ウルトラ一覧!$A:$L,4,FALSE),"")</f>
        <v/>
      </c>
      <c r="N6">
        <f>IFERROR(VLOOKUP($D6,ウルトラ一覧!$A:$L,8,FALSE),"")</f>
        <v/>
      </c>
      <c r="O6">
        <f>IFERROR(VLOOKUP($D6,ウルトラ一覧!$A:$L,9,FALSE),"")</f>
        <v/>
      </c>
      <c r="P6">
        <f>IFERROR(VLOOKUP($D6,ウルトラ一覧!$A:$L,10,FALSE),"")</f>
        <v/>
      </c>
    </row>
    <row r="7">
      <c r="A7" s="1" t="n"/>
      <c r="B7" s="1" t="n"/>
      <c r="C7" s="1" t="n"/>
      <c r="D7" s="3" t="n"/>
      <c r="E7" s="1" t="n"/>
      <c r="F7" s="1" t="n"/>
      <c r="G7" s="1" t="n"/>
      <c r="H7" s="1" t="n"/>
      <c r="I7" s="1" t="n"/>
      <c r="J7" s="1" t="n"/>
      <c r="K7">
        <f>IFERROR(VLOOKUP($D7,ウルトラ一覧!$A:$L,2,FALSE),"")</f>
        <v/>
      </c>
      <c r="L7">
        <f>IFERROR(VLOOKUP($D7,ウルトラ一覧!$A:$L,3,FALSE),"")</f>
        <v/>
      </c>
      <c r="M7">
        <f>IFERROR(VLOOKUP($D7,ウルトラ一覧!$A:$L,4,FALSE),"")</f>
        <v/>
      </c>
      <c r="N7">
        <f>IFERROR(VLOOKUP($D7,ウルトラ一覧!$A:$L,8,FALSE),"")</f>
        <v/>
      </c>
      <c r="O7">
        <f>IFERROR(VLOOKUP($D7,ウルトラ一覧!$A:$L,9,FALSE),"")</f>
        <v/>
      </c>
      <c r="P7">
        <f>IFERROR(VLOOKUP($D7,ウルトラ一覧!$A:$L,10,FALSE),"")</f>
        <v/>
      </c>
    </row>
    <row r="8">
      <c r="A8" s="1" t="n"/>
      <c r="B8" s="1" t="n"/>
      <c r="C8" s="1" t="n"/>
      <c r="D8" s="3" t="n"/>
      <c r="E8" s="1" t="n"/>
      <c r="F8" s="1" t="n"/>
      <c r="G8" s="1" t="n"/>
      <c r="H8" s="1" t="n"/>
      <c r="I8" s="1" t="n"/>
      <c r="J8" s="1" t="n"/>
      <c r="K8">
        <f>IFERROR(VLOOKUP($D8,ウルトラ一覧!$A:$L,2,FALSE),"")</f>
        <v/>
      </c>
      <c r="L8">
        <f>IFERROR(VLOOKUP($D8,ウルトラ一覧!$A:$L,3,FALSE),"")</f>
        <v/>
      </c>
      <c r="M8">
        <f>IFERROR(VLOOKUP($D8,ウルトラ一覧!$A:$L,4,FALSE),"")</f>
        <v/>
      </c>
      <c r="N8">
        <f>IFERROR(VLOOKUP($D8,ウルトラ一覧!$A:$L,8,FALSE),"")</f>
        <v/>
      </c>
      <c r="O8">
        <f>IFERROR(VLOOKUP($D8,ウルトラ一覧!$A:$L,9,FALSE),"")</f>
        <v/>
      </c>
      <c r="P8">
        <f>IFERROR(VLOOKUP($D8,ウルトラ一覧!$A:$L,10,FALSE),"")</f>
        <v/>
      </c>
    </row>
    <row r="9">
      <c r="A9" s="1" t="n"/>
      <c r="B9" s="1" t="n"/>
      <c r="C9" s="1" t="n"/>
      <c r="D9" s="3" t="n"/>
      <c r="E9" s="1" t="n"/>
      <c r="F9" s="1" t="n"/>
      <c r="G9" s="1" t="n"/>
      <c r="H9" s="1" t="n"/>
      <c r="I9" s="1" t="n"/>
      <c r="J9" s="1" t="n"/>
      <c r="K9">
        <f>IFERROR(VLOOKUP($D9,ウルトラ一覧!$A:$L,2,FALSE),"")</f>
        <v/>
      </c>
      <c r="L9">
        <f>IFERROR(VLOOKUP($D9,ウルトラ一覧!$A:$L,3,FALSE),"")</f>
        <v/>
      </c>
      <c r="M9">
        <f>IFERROR(VLOOKUP($D9,ウルトラ一覧!$A:$L,4,FALSE),"")</f>
        <v/>
      </c>
      <c r="N9">
        <f>IFERROR(VLOOKUP($D9,ウルトラ一覧!$A:$L,8,FALSE),"")</f>
        <v/>
      </c>
      <c r="O9">
        <f>IFERROR(VLOOKUP($D9,ウルトラ一覧!$A:$L,9,FALSE),"")</f>
        <v/>
      </c>
      <c r="P9">
        <f>IFERROR(VLOOKUP($D9,ウルトラ一覧!$A:$L,10,FALSE),"")</f>
        <v/>
      </c>
    </row>
    <row r="10">
      <c r="A10" s="1" t="n"/>
      <c r="B10" s="1" t="n"/>
      <c r="C10" s="1" t="n"/>
      <c r="D10" s="3" t="n"/>
      <c r="E10" s="1" t="n"/>
      <c r="F10" s="1" t="n"/>
      <c r="G10" s="1" t="n"/>
      <c r="H10" s="1" t="n"/>
      <c r="I10" s="1" t="n"/>
      <c r="J10" s="1" t="n"/>
      <c r="K10">
        <f>IFERROR(VLOOKUP($D10,ウルトラ一覧!$A:$L,2,FALSE),"")</f>
        <v/>
      </c>
      <c r="L10">
        <f>IFERROR(VLOOKUP($D10,ウルトラ一覧!$A:$L,3,FALSE),"")</f>
        <v/>
      </c>
      <c r="M10">
        <f>IFERROR(VLOOKUP($D10,ウルトラ一覧!$A:$L,4,FALSE),"")</f>
        <v/>
      </c>
      <c r="N10">
        <f>IFERROR(VLOOKUP($D10,ウルトラ一覧!$A:$L,8,FALSE),"")</f>
        <v/>
      </c>
      <c r="O10">
        <f>IFERROR(VLOOKUP($D10,ウルトラ一覧!$A:$L,9,FALSE),"")</f>
        <v/>
      </c>
      <c r="P10">
        <f>IFERROR(VLOOKUP($D10,ウルトラ一覧!$A:$L,10,FALSE),"")</f>
        <v/>
      </c>
    </row>
    <row r="11">
      <c r="A11" s="1" t="n"/>
      <c r="B11" s="1" t="n"/>
      <c r="C11" s="1" t="n"/>
      <c r="D11" s="3" t="n"/>
      <c r="E11" s="1" t="n"/>
      <c r="F11" s="1" t="n"/>
      <c r="G11" s="1" t="n"/>
      <c r="H11" s="1" t="n"/>
      <c r="I11" s="1" t="n"/>
      <c r="J11" s="1" t="n"/>
      <c r="K11">
        <f>IFERROR(VLOOKUP($D11,ウルトラ一覧!$A:$L,2,FALSE),"")</f>
        <v/>
      </c>
      <c r="L11">
        <f>IFERROR(VLOOKUP($D11,ウルトラ一覧!$A:$L,3,FALSE),"")</f>
        <v/>
      </c>
      <c r="M11">
        <f>IFERROR(VLOOKUP($D11,ウルトラ一覧!$A:$L,4,FALSE),"")</f>
        <v/>
      </c>
      <c r="N11">
        <f>IFERROR(VLOOKUP($D11,ウルトラ一覧!$A:$L,8,FALSE),"")</f>
        <v/>
      </c>
      <c r="O11">
        <f>IFERROR(VLOOKUP($D11,ウルトラ一覧!$A:$L,9,FALSE),"")</f>
        <v/>
      </c>
      <c r="P11">
        <f>IFERROR(VLOOKUP($D11,ウルトラ一覧!$A:$L,10,FALSE),"")</f>
        <v/>
      </c>
    </row>
    <row r="12">
      <c r="A12" s="1" t="n"/>
      <c r="B12" s="1" t="n"/>
      <c r="C12" s="1" t="n"/>
      <c r="D12" s="3" t="n"/>
      <c r="E12" s="1" t="n"/>
      <c r="F12" s="1" t="n"/>
      <c r="G12" s="1" t="n"/>
      <c r="H12" s="1" t="n"/>
      <c r="I12" s="1" t="n"/>
      <c r="J12" s="1" t="n"/>
      <c r="K12">
        <f>IFERROR(VLOOKUP($D12,ウルトラ一覧!$A:$L,2,FALSE),"")</f>
        <v/>
      </c>
      <c r="L12">
        <f>IFERROR(VLOOKUP($D12,ウルトラ一覧!$A:$L,3,FALSE),"")</f>
        <v/>
      </c>
      <c r="M12">
        <f>IFERROR(VLOOKUP($D12,ウルトラ一覧!$A:$L,4,FALSE),"")</f>
        <v/>
      </c>
      <c r="N12">
        <f>IFERROR(VLOOKUP($D12,ウルトラ一覧!$A:$L,8,FALSE),"")</f>
        <v/>
      </c>
      <c r="O12">
        <f>IFERROR(VLOOKUP($D12,ウルトラ一覧!$A:$L,9,FALSE),"")</f>
        <v/>
      </c>
      <c r="P12">
        <f>IFERROR(VLOOKUP($D12,ウルトラ一覧!$A:$L,10,FALSE),"")</f>
        <v/>
      </c>
    </row>
    <row r="13">
      <c r="A13" s="1" t="n"/>
      <c r="B13" s="1" t="n"/>
      <c r="C13" s="1" t="n"/>
      <c r="D13" s="3" t="n"/>
      <c r="E13" s="1" t="n"/>
      <c r="F13" s="1" t="n"/>
      <c r="G13" s="1" t="n"/>
      <c r="H13" s="1" t="n"/>
      <c r="I13" s="1" t="n"/>
      <c r="J13" s="1" t="n"/>
      <c r="K13">
        <f>IFERROR(VLOOKUP($D13,ウルトラ一覧!$A:$L,2,FALSE),"")</f>
        <v/>
      </c>
      <c r="L13">
        <f>IFERROR(VLOOKUP($D13,ウルトラ一覧!$A:$L,3,FALSE),"")</f>
        <v/>
      </c>
      <c r="M13">
        <f>IFERROR(VLOOKUP($D13,ウルトラ一覧!$A:$L,4,FALSE),"")</f>
        <v/>
      </c>
      <c r="N13">
        <f>IFERROR(VLOOKUP($D13,ウルトラ一覧!$A:$L,8,FALSE),"")</f>
        <v/>
      </c>
      <c r="O13">
        <f>IFERROR(VLOOKUP($D13,ウルトラ一覧!$A:$L,9,FALSE),"")</f>
        <v/>
      </c>
      <c r="P13">
        <f>IFERROR(VLOOKUP($D13,ウルトラ一覧!$A:$L,10,FALSE),"")</f>
        <v/>
      </c>
    </row>
    <row r="14">
      <c r="A14" s="1" t="n"/>
      <c r="B14" s="1" t="n"/>
      <c r="C14" s="1" t="n"/>
      <c r="D14" s="3" t="n"/>
      <c r="E14" s="1" t="n"/>
      <c r="F14" s="1" t="n"/>
      <c r="G14" s="1" t="n"/>
      <c r="H14" s="1" t="n"/>
      <c r="I14" s="1" t="n"/>
      <c r="J14" s="1" t="n"/>
      <c r="K14">
        <f>IFERROR(VLOOKUP($D14,ウルトラ一覧!$A:$L,2,FALSE),"")</f>
        <v/>
      </c>
      <c r="L14">
        <f>IFERROR(VLOOKUP($D14,ウルトラ一覧!$A:$L,3,FALSE),"")</f>
        <v/>
      </c>
      <c r="M14">
        <f>IFERROR(VLOOKUP($D14,ウルトラ一覧!$A:$L,4,FALSE),"")</f>
        <v/>
      </c>
      <c r="N14">
        <f>IFERROR(VLOOKUP($D14,ウルトラ一覧!$A:$L,8,FALSE),"")</f>
        <v/>
      </c>
      <c r="O14">
        <f>IFERROR(VLOOKUP($D14,ウルトラ一覧!$A:$L,9,FALSE),"")</f>
        <v/>
      </c>
      <c r="P14">
        <f>IFERROR(VLOOKUP($D14,ウルトラ一覧!$A:$L,10,FALSE),"")</f>
        <v/>
      </c>
    </row>
    <row r="15">
      <c r="A15" s="1" t="n"/>
      <c r="B15" s="1" t="n"/>
      <c r="C15" s="1" t="n"/>
      <c r="D15" s="3" t="n"/>
      <c r="E15" s="1" t="n"/>
      <c r="F15" s="1" t="n"/>
      <c r="G15" s="1" t="n"/>
      <c r="H15" s="1" t="n"/>
      <c r="I15" s="1" t="n"/>
      <c r="J15" s="1" t="n"/>
      <c r="K15">
        <f>IFERROR(VLOOKUP($D15,ウルトラ一覧!$A:$L,2,FALSE),"")</f>
        <v/>
      </c>
      <c r="L15">
        <f>IFERROR(VLOOKUP($D15,ウルトラ一覧!$A:$L,3,FALSE),"")</f>
        <v/>
      </c>
      <c r="M15">
        <f>IFERROR(VLOOKUP($D15,ウルトラ一覧!$A:$L,4,FALSE),"")</f>
        <v/>
      </c>
      <c r="N15">
        <f>IFERROR(VLOOKUP($D15,ウルトラ一覧!$A:$L,8,FALSE),"")</f>
        <v/>
      </c>
      <c r="O15">
        <f>IFERROR(VLOOKUP($D15,ウルトラ一覧!$A:$L,9,FALSE),"")</f>
        <v/>
      </c>
      <c r="P15">
        <f>IFERROR(VLOOKUP($D15,ウルトラ一覧!$A:$L,10,FALSE),"")</f>
        <v/>
      </c>
    </row>
    <row r="16">
      <c r="A16" s="1" t="n"/>
      <c r="B16" s="1" t="n"/>
      <c r="C16" s="1" t="n"/>
      <c r="D16" s="3" t="n"/>
      <c r="E16" s="1" t="n"/>
      <c r="F16" s="1" t="n"/>
      <c r="G16" s="1" t="n"/>
      <c r="H16" s="1" t="n"/>
      <c r="I16" s="1" t="n"/>
      <c r="J16" s="1" t="n"/>
      <c r="K16">
        <f>IFERROR(VLOOKUP($D16,ウルトラ一覧!$A:$L,2,FALSE),"")</f>
        <v/>
      </c>
      <c r="L16">
        <f>IFERROR(VLOOKUP($D16,ウルトラ一覧!$A:$L,3,FALSE),"")</f>
        <v/>
      </c>
      <c r="M16">
        <f>IFERROR(VLOOKUP($D16,ウルトラ一覧!$A:$L,4,FALSE),"")</f>
        <v/>
      </c>
      <c r="N16">
        <f>IFERROR(VLOOKUP($D16,ウルトラ一覧!$A:$L,8,FALSE),"")</f>
        <v/>
      </c>
      <c r="O16">
        <f>IFERROR(VLOOKUP($D16,ウルトラ一覧!$A:$L,9,FALSE),"")</f>
        <v/>
      </c>
      <c r="P16">
        <f>IFERROR(VLOOKUP($D16,ウルトラ一覧!$A:$L,10,FALSE),"")</f>
        <v/>
      </c>
    </row>
    <row r="17">
      <c r="D17" s="4" t="n"/>
      <c r="K17">
        <f>IFERROR(VLOOKUP($D17,ウルトラ一覧!$A:$L,2,FALSE),"")</f>
        <v/>
      </c>
      <c r="L17">
        <f>IFERROR(VLOOKUP($D17,ウルトラ一覧!$A:$L,3,FALSE),"")</f>
        <v/>
      </c>
      <c r="M17">
        <f>IFERROR(VLOOKUP($D17,ウルトラ一覧!$A:$L,4,FALSE),"")</f>
        <v/>
      </c>
      <c r="N17">
        <f>IFERROR(VLOOKUP($D17,ウルトラ一覧!$A:$L,8,FALSE),"")</f>
        <v/>
      </c>
      <c r="O17">
        <f>IFERROR(VLOOKUP($D17,ウルトラ一覧!$A:$L,9,FALSE),"")</f>
        <v/>
      </c>
      <c r="P17">
        <f>IFERROR(VLOOKUP($D17,ウルトラ一覧!$A:$L,10,FALSE),"")</f>
        <v/>
      </c>
    </row>
    <row r="18">
      <c r="D18" s="4" t="n"/>
      <c r="K18">
        <f>IFERROR(VLOOKUP($D18,ウルトラ一覧!$A:$L,2,FALSE),"")</f>
        <v/>
      </c>
      <c r="L18">
        <f>IFERROR(VLOOKUP($D18,ウルトラ一覧!$A:$L,3,FALSE),"")</f>
        <v/>
      </c>
      <c r="M18">
        <f>IFERROR(VLOOKUP($D18,ウルトラ一覧!$A:$L,4,FALSE),"")</f>
        <v/>
      </c>
      <c r="N18">
        <f>IFERROR(VLOOKUP($D18,ウルトラ一覧!$A:$L,8,FALSE),"")</f>
        <v/>
      </c>
      <c r="O18">
        <f>IFERROR(VLOOKUP($D18,ウルトラ一覧!$A:$L,9,FALSE),"")</f>
        <v/>
      </c>
      <c r="P18">
        <f>IFERROR(VLOOKUP($D18,ウルトラ一覧!$A:$L,10,FALSE),"")</f>
        <v/>
      </c>
    </row>
    <row r="19">
      <c r="D19" s="4" t="n"/>
      <c r="K19">
        <f>IFERROR(VLOOKUP($D19,ウルトラ一覧!$A:$L,2,FALSE),"")</f>
        <v/>
      </c>
      <c r="L19">
        <f>IFERROR(VLOOKUP($D19,ウルトラ一覧!$A:$L,3,FALSE),"")</f>
        <v/>
      </c>
      <c r="M19">
        <f>IFERROR(VLOOKUP($D19,ウルトラ一覧!$A:$L,4,FALSE),"")</f>
        <v/>
      </c>
      <c r="N19">
        <f>IFERROR(VLOOKUP($D19,ウルトラ一覧!$A:$L,8,FALSE),"")</f>
        <v/>
      </c>
      <c r="O19">
        <f>IFERROR(VLOOKUP($D19,ウルトラ一覧!$A:$L,9,FALSE),"")</f>
        <v/>
      </c>
      <c r="P19">
        <f>IFERROR(VLOOKUP($D19,ウルトラ一覧!$A:$L,10,FALSE),"")</f>
        <v/>
      </c>
    </row>
    <row r="20">
      <c r="D20" s="4" t="n"/>
      <c r="K20">
        <f>IFERROR(VLOOKUP($D20,ウルトラ一覧!$A:$L,2,FALSE),"")</f>
        <v/>
      </c>
      <c r="L20">
        <f>IFERROR(VLOOKUP($D20,ウルトラ一覧!$A:$L,3,FALSE),"")</f>
        <v/>
      </c>
      <c r="M20">
        <f>IFERROR(VLOOKUP($D20,ウルトラ一覧!$A:$L,4,FALSE),"")</f>
        <v/>
      </c>
      <c r="N20">
        <f>IFERROR(VLOOKUP($D20,ウルトラ一覧!$A:$L,8,FALSE),"")</f>
        <v/>
      </c>
      <c r="O20">
        <f>IFERROR(VLOOKUP($D20,ウルトラ一覧!$A:$L,9,FALSE),"")</f>
        <v/>
      </c>
      <c r="P20">
        <f>IFERROR(VLOOKUP($D20,ウルトラ一覧!$A:$L,10,FALSE),"")</f>
        <v/>
      </c>
    </row>
    <row r="21">
      <c r="D21" s="4" t="n"/>
      <c r="K21">
        <f>IFERROR(VLOOKUP($D21,ウルトラ一覧!$A:$L,2,FALSE),"")</f>
        <v/>
      </c>
      <c r="L21">
        <f>IFERROR(VLOOKUP($D21,ウルトラ一覧!$A:$L,3,FALSE),"")</f>
        <v/>
      </c>
      <c r="M21">
        <f>IFERROR(VLOOKUP($D21,ウルトラ一覧!$A:$L,4,FALSE),"")</f>
        <v/>
      </c>
      <c r="N21">
        <f>IFERROR(VLOOKUP($D21,ウルトラ一覧!$A:$L,8,FALSE),"")</f>
        <v/>
      </c>
      <c r="O21">
        <f>IFERROR(VLOOKUP($D21,ウルトラ一覧!$A:$L,9,FALSE),"")</f>
        <v/>
      </c>
      <c r="P21">
        <f>IFERROR(VLOOKUP($D21,ウルトラ一覧!$A:$L,10,FALSE),"")</f>
        <v/>
      </c>
    </row>
    <row r="22">
      <c r="D22" s="4" t="n"/>
      <c r="K22">
        <f>IFERROR(VLOOKUP($D22,ウルトラ一覧!$A:$L,2,FALSE),"")</f>
        <v/>
      </c>
      <c r="L22">
        <f>IFERROR(VLOOKUP($D22,ウルトラ一覧!$A:$L,3,FALSE),"")</f>
        <v/>
      </c>
      <c r="M22">
        <f>IFERROR(VLOOKUP($D22,ウルトラ一覧!$A:$L,4,FALSE),"")</f>
        <v/>
      </c>
      <c r="N22">
        <f>IFERROR(VLOOKUP($D22,ウルトラ一覧!$A:$L,8,FALSE),"")</f>
        <v/>
      </c>
      <c r="O22">
        <f>IFERROR(VLOOKUP($D22,ウルトラ一覧!$A:$L,9,FALSE),"")</f>
        <v/>
      </c>
      <c r="P22">
        <f>IFERROR(VLOOKUP($D22,ウルトラ一覧!$A:$L,10,FALSE),"")</f>
        <v/>
      </c>
    </row>
    <row r="23">
      <c r="D23" s="4" t="n"/>
      <c r="K23">
        <f>IFERROR(VLOOKUP($D23,ウルトラ一覧!$A:$L,2,FALSE),"")</f>
        <v/>
      </c>
      <c r="L23">
        <f>IFERROR(VLOOKUP($D23,ウルトラ一覧!$A:$L,3,FALSE),"")</f>
        <v/>
      </c>
      <c r="M23">
        <f>IFERROR(VLOOKUP($D23,ウルトラ一覧!$A:$L,4,FALSE),"")</f>
        <v/>
      </c>
      <c r="N23">
        <f>IFERROR(VLOOKUP($D23,ウルトラ一覧!$A:$L,8,FALSE),"")</f>
        <v/>
      </c>
      <c r="O23">
        <f>IFERROR(VLOOKUP($D23,ウルトラ一覧!$A:$L,9,FALSE),"")</f>
        <v/>
      </c>
      <c r="P23">
        <f>IFERROR(VLOOKUP($D23,ウルトラ一覧!$A:$L,10,FALSE),"")</f>
        <v/>
      </c>
    </row>
    <row r="24">
      <c r="D24" s="4" t="n"/>
      <c r="K24">
        <f>IFERROR(VLOOKUP($D24,ウルトラ一覧!$A:$L,2,FALSE),"")</f>
        <v/>
      </c>
      <c r="L24">
        <f>IFERROR(VLOOKUP($D24,ウルトラ一覧!$A:$L,3,FALSE),"")</f>
        <v/>
      </c>
      <c r="M24">
        <f>IFERROR(VLOOKUP($D24,ウルトラ一覧!$A:$L,4,FALSE),"")</f>
        <v/>
      </c>
      <c r="N24">
        <f>IFERROR(VLOOKUP($D24,ウルトラ一覧!$A:$L,8,FALSE),"")</f>
        <v/>
      </c>
      <c r="O24">
        <f>IFERROR(VLOOKUP($D24,ウルトラ一覧!$A:$L,9,FALSE),"")</f>
        <v/>
      </c>
      <c r="P24">
        <f>IFERROR(VLOOKUP($D24,ウルトラ一覧!$A:$L,10,FALSE),"")</f>
        <v/>
      </c>
    </row>
    <row r="25">
      <c r="D25" s="4" t="n"/>
      <c r="K25">
        <f>IFERROR(VLOOKUP($D25,ウルトラ一覧!$A:$L,2,FALSE),"")</f>
        <v/>
      </c>
      <c r="L25">
        <f>IFERROR(VLOOKUP($D25,ウルトラ一覧!$A:$L,3,FALSE),"")</f>
        <v/>
      </c>
      <c r="M25">
        <f>IFERROR(VLOOKUP($D25,ウルトラ一覧!$A:$L,4,FALSE),"")</f>
        <v/>
      </c>
      <c r="N25">
        <f>IFERROR(VLOOKUP($D25,ウルトラ一覧!$A:$L,8,FALSE),"")</f>
        <v/>
      </c>
      <c r="O25">
        <f>IFERROR(VLOOKUP($D25,ウルトラ一覧!$A:$L,9,FALSE),"")</f>
        <v/>
      </c>
      <c r="P25">
        <f>IFERROR(VLOOKUP($D25,ウルトラ一覧!$A:$L,10,FALSE),"")</f>
        <v/>
      </c>
    </row>
    <row r="26">
      <c r="D26" s="4" t="n"/>
      <c r="K26">
        <f>IFERROR(VLOOKUP($D26,ウルトラ一覧!$A:$L,2,FALSE),"")</f>
        <v/>
      </c>
      <c r="L26">
        <f>IFERROR(VLOOKUP($D26,ウルトラ一覧!$A:$L,3,FALSE),"")</f>
        <v/>
      </c>
      <c r="M26">
        <f>IFERROR(VLOOKUP($D26,ウルトラ一覧!$A:$L,4,FALSE),"")</f>
        <v/>
      </c>
      <c r="N26">
        <f>IFERROR(VLOOKUP($D26,ウルトラ一覧!$A:$L,8,FALSE),"")</f>
        <v/>
      </c>
      <c r="O26">
        <f>IFERROR(VLOOKUP($D26,ウルトラ一覧!$A:$L,9,FALSE),"")</f>
        <v/>
      </c>
      <c r="P26">
        <f>IFERROR(VLOOKUP($D26,ウルトラ一覧!$A:$L,10,FALSE),"")</f>
        <v/>
      </c>
    </row>
    <row r="27">
      <c r="D27" s="4" t="n"/>
      <c r="K27">
        <f>IFERROR(VLOOKUP($D27,ウルトラ一覧!$A:$L,2,FALSE),"")</f>
        <v/>
      </c>
      <c r="L27">
        <f>IFERROR(VLOOKUP($D27,ウルトラ一覧!$A:$L,3,FALSE),"")</f>
        <v/>
      </c>
      <c r="M27">
        <f>IFERROR(VLOOKUP($D27,ウルトラ一覧!$A:$L,4,FALSE),"")</f>
        <v/>
      </c>
      <c r="N27">
        <f>IFERROR(VLOOKUP($D27,ウルトラ一覧!$A:$L,8,FALSE),"")</f>
        <v/>
      </c>
      <c r="O27">
        <f>IFERROR(VLOOKUP($D27,ウルトラ一覧!$A:$L,9,FALSE),"")</f>
        <v/>
      </c>
      <c r="P27">
        <f>IFERROR(VLOOKUP($D27,ウルトラ一覧!$A:$L,10,FALSE),"")</f>
        <v/>
      </c>
    </row>
    <row r="28">
      <c r="D28" s="4" t="n"/>
      <c r="K28">
        <f>IFERROR(VLOOKUP($D28,ウルトラ一覧!$A:$L,2,FALSE),"")</f>
        <v/>
      </c>
      <c r="L28">
        <f>IFERROR(VLOOKUP($D28,ウルトラ一覧!$A:$L,3,FALSE),"")</f>
        <v/>
      </c>
      <c r="M28">
        <f>IFERROR(VLOOKUP($D28,ウルトラ一覧!$A:$L,4,FALSE),"")</f>
        <v/>
      </c>
      <c r="N28">
        <f>IFERROR(VLOOKUP($D28,ウルトラ一覧!$A:$L,8,FALSE),"")</f>
        <v/>
      </c>
      <c r="O28">
        <f>IFERROR(VLOOKUP($D28,ウルトラ一覧!$A:$L,9,FALSE),"")</f>
        <v/>
      </c>
      <c r="P28">
        <f>IFERROR(VLOOKUP($D28,ウルトラ一覧!$A:$L,10,FALSE),"")</f>
        <v/>
      </c>
    </row>
    <row r="29">
      <c r="D29" s="4" t="n"/>
      <c r="K29">
        <f>IFERROR(VLOOKUP($D29,ウルトラ一覧!$A:$L,2,FALSE),"")</f>
        <v/>
      </c>
      <c r="L29">
        <f>IFERROR(VLOOKUP($D29,ウルトラ一覧!$A:$L,3,FALSE),"")</f>
        <v/>
      </c>
      <c r="M29">
        <f>IFERROR(VLOOKUP($D29,ウルトラ一覧!$A:$L,4,FALSE),"")</f>
        <v/>
      </c>
      <c r="N29">
        <f>IFERROR(VLOOKUP($D29,ウルトラ一覧!$A:$L,8,FALSE),"")</f>
        <v/>
      </c>
      <c r="O29">
        <f>IFERROR(VLOOKUP($D29,ウルトラ一覧!$A:$L,9,FALSE),"")</f>
        <v/>
      </c>
      <c r="P29">
        <f>IFERROR(VLOOKUP($D29,ウルトラ一覧!$A:$L,10,FALSE),"")</f>
        <v/>
      </c>
    </row>
    <row r="30">
      <c r="D30" s="4" t="n"/>
      <c r="K30">
        <f>IFERROR(VLOOKUP($D30,ウルトラ一覧!$A:$L,2,FALSE),"")</f>
        <v/>
      </c>
      <c r="L30">
        <f>IFERROR(VLOOKUP($D30,ウルトラ一覧!$A:$L,3,FALSE),"")</f>
        <v/>
      </c>
      <c r="M30">
        <f>IFERROR(VLOOKUP($D30,ウルトラ一覧!$A:$L,4,FALSE),"")</f>
        <v/>
      </c>
      <c r="N30">
        <f>IFERROR(VLOOKUP($D30,ウルトラ一覧!$A:$L,8,FALSE),"")</f>
        <v/>
      </c>
      <c r="O30">
        <f>IFERROR(VLOOKUP($D30,ウルトラ一覧!$A:$L,9,FALSE),"")</f>
        <v/>
      </c>
      <c r="P30">
        <f>IFERROR(VLOOKUP($D30,ウルトラ一覧!$A:$L,10,FALSE),"")</f>
        <v/>
      </c>
    </row>
    <row r="31">
      <c r="D31" s="4" t="n"/>
      <c r="K31">
        <f>IFERROR(VLOOKUP($D31,ウルトラ一覧!$A:$L,2,FALSE),"")</f>
        <v/>
      </c>
      <c r="L31">
        <f>IFERROR(VLOOKUP($D31,ウルトラ一覧!$A:$L,3,FALSE),"")</f>
        <v/>
      </c>
      <c r="M31">
        <f>IFERROR(VLOOKUP($D31,ウルトラ一覧!$A:$L,4,FALSE),"")</f>
        <v/>
      </c>
      <c r="N31">
        <f>IFERROR(VLOOKUP($D31,ウルトラ一覧!$A:$L,8,FALSE),"")</f>
        <v/>
      </c>
      <c r="O31">
        <f>IFERROR(VLOOKUP($D31,ウルトラ一覧!$A:$L,9,FALSE),"")</f>
        <v/>
      </c>
      <c r="P31">
        <f>IFERROR(VLOOKUP($D31,ウルトラ一覧!$A:$L,10,FALSE),"")</f>
        <v/>
      </c>
    </row>
    <row r="32">
      <c r="D32" s="4" t="n"/>
      <c r="K32">
        <f>IFERROR(VLOOKUP($D32,ウルトラ一覧!$A:$L,2,FALSE),"")</f>
        <v/>
      </c>
      <c r="L32">
        <f>IFERROR(VLOOKUP($D32,ウルトラ一覧!$A:$L,3,FALSE),"")</f>
        <v/>
      </c>
      <c r="M32">
        <f>IFERROR(VLOOKUP($D32,ウルトラ一覧!$A:$L,4,FALSE),"")</f>
        <v/>
      </c>
      <c r="N32">
        <f>IFERROR(VLOOKUP($D32,ウルトラ一覧!$A:$L,8,FALSE),"")</f>
        <v/>
      </c>
      <c r="O32">
        <f>IFERROR(VLOOKUP($D32,ウルトラ一覧!$A:$L,9,FALSE),"")</f>
        <v/>
      </c>
      <c r="P32">
        <f>IFERROR(VLOOKUP($D32,ウルトラ一覧!$A:$L,10,FALSE),"")</f>
        <v/>
      </c>
    </row>
    <row r="33">
      <c r="D33" s="4" t="n"/>
      <c r="K33">
        <f>IFERROR(VLOOKUP($D33,ウルトラ一覧!$A:$L,2,FALSE),"")</f>
        <v/>
      </c>
      <c r="L33">
        <f>IFERROR(VLOOKUP($D33,ウルトラ一覧!$A:$L,3,FALSE),"")</f>
        <v/>
      </c>
      <c r="M33">
        <f>IFERROR(VLOOKUP($D33,ウルトラ一覧!$A:$L,4,FALSE),"")</f>
        <v/>
      </c>
      <c r="N33">
        <f>IFERROR(VLOOKUP($D33,ウルトラ一覧!$A:$L,8,FALSE),"")</f>
        <v/>
      </c>
      <c r="O33">
        <f>IFERROR(VLOOKUP($D33,ウルトラ一覧!$A:$L,9,FALSE),"")</f>
        <v/>
      </c>
      <c r="P33">
        <f>IFERROR(VLOOKUP($D33,ウルトラ一覧!$A:$L,10,FALSE),"")</f>
        <v/>
      </c>
    </row>
    <row r="34">
      <c r="D34" s="4" t="n"/>
      <c r="K34">
        <f>IFERROR(VLOOKUP($D34,ウルトラ一覧!$A:$L,2,FALSE),"")</f>
        <v/>
      </c>
      <c r="L34">
        <f>IFERROR(VLOOKUP($D34,ウルトラ一覧!$A:$L,3,FALSE),"")</f>
        <v/>
      </c>
      <c r="M34">
        <f>IFERROR(VLOOKUP($D34,ウルトラ一覧!$A:$L,4,FALSE),"")</f>
        <v/>
      </c>
      <c r="N34">
        <f>IFERROR(VLOOKUP($D34,ウルトラ一覧!$A:$L,8,FALSE),"")</f>
        <v/>
      </c>
      <c r="O34">
        <f>IFERROR(VLOOKUP($D34,ウルトラ一覧!$A:$L,9,FALSE),"")</f>
        <v/>
      </c>
      <c r="P34">
        <f>IFERROR(VLOOKUP($D34,ウルトラ一覧!$A:$L,10,FALSE),"")</f>
        <v/>
      </c>
    </row>
    <row r="35">
      <c r="D35" s="4" t="n"/>
      <c r="K35">
        <f>IFERROR(VLOOKUP($D35,ウルトラ一覧!$A:$L,2,FALSE),"")</f>
        <v/>
      </c>
      <c r="L35">
        <f>IFERROR(VLOOKUP($D35,ウルトラ一覧!$A:$L,3,FALSE),"")</f>
        <v/>
      </c>
      <c r="M35">
        <f>IFERROR(VLOOKUP($D35,ウルトラ一覧!$A:$L,4,FALSE),"")</f>
        <v/>
      </c>
      <c r="N35">
        <f>IFERROR(VLOOKUP($D35,ウルトラ一覧!$A:$L,8,FALSE),"")</f>
        <v/>
      </c>
      <c r="O35">
        <f>IFERROR(VLOOKUP($D35,ウルトラ一覧!$A:$L,9,FALSE),"")</f>
        <v/>
      </c>
      <c r="P35">
        <f>IFERROR(VLOOKUP($D35,ウルトラ一覧!$A:$L,10,FALSE),"")</f>
        <v/>
      </c>
    </row>
    <row r="36">
      <c r="D36" s="4" t="n"/>
      <c r="K36">
        <f>IFERROR(VLOOKUP($D36,ウルトラ一覧!$A:$L,2,FALSE),"")</f>
        <v/>
      </c>
      <c r="L36">
        <f>IFERROR(VLOOKUP($D36,ウルトラ一覧!$A:$L,3,FALSE),"")</f>
        <v/>
      </c>
      <c r="M36">
        <f>IFERROR(VLOOKUP($D36,ウルトラ一覧!$A:$L,4,FALSE),"")</f>
        <v/>
      </c>
      <c r="N36">
        <f>IFERROR(VLOOKUP($D36,ウルトラ一覧!$A:$L,8,FALSE),"")</f>
        <v/>
      </c>
      <c r="O36">
        <f>IFERROR(VLOOKUP($D36,ウルトラ一覧!$A:$L,9,FALSE),"")</f>
        <v/>
      </c>
      <c r="P36">
        <f>IFERROR(VLOOKUP($D36,ウルトラ一覧!$A:$L,10,FALSE),"")</f>
        <v/>
      </c>
    </row>
    <row r="37">
      <c r="D37" s="4" t="n"/>
      <c r="K37">
        <f>IFERROR(VLOOKUP($D37,ウルトラ一覧!$A:$L,2,FALSE),"")</f>
        <v/>
      </c>
      <c r="L37">
        <f>IFERROR(VLOOKUP($D37,ウルトラ一覧!$A:$L,3,FALSE),"")</f>
        <v/>
      </c>
      <c r="M37">
        <f>IFERROR(VLOOKUP($D37,ウルトラ一覧!$A:$L,4,FALSE),"")</f>
        <v/>
      </c>
      <c r="N37">
        <f>IFERROR(VLOOKUP($D37,ウルトラ一覧!$A:$L,8,FALSE),"")</f>
        <v/>
      </c>
      <c r="O37">
        <f>IFERROR(VLOOKUP($D37,ウルトラ一覧!$A:$L,9,FALSE),"")</f>
        <v/>
      </c>
      <c r="P37">
        <f>IFERROR(VLOOKUP($D37,ウルトラ一覧!$A:$L,10,FALSE),"")</f>
        <v/>
      </c>
    </row>
    <row r="38">
      <c r="D38" s="4" t="n"/>
      <c r="K38">
        <f>IFERROR(VLOOKUP($D38,ウルトラ一覧!$A:$L,2,FALSE),"")</f>
        <v/>
      </c>
      <c r="L38">
        <f>IFERROR(VLOOKUP($D38,ウルトラ一覧!$A:$L,3,FALSE),"")</f>
        <v/>
      </c>
      <c r="M38">
        <f>IFERROR(VLOOKUP($D38,ウルトラ一覧!$A:$L,4,FALSE),"")</f>
        <v/>
      </c>
      <c r="N38">
        <f>IFERROR(VLOOKUP($D38,ウルトラ一覧!$A:$L,8,FALSE),"")</f>
        <v/>
      </c>
      <c r="O38">
        <f>IFERROR(VLOOKUP($D38,ウルトラ一覧!$A:$L,9,FALSE),"")</f>
        <v/>
      </c>
      <c r="P38">
        <f>IFERROR(VLOOKUP($D38,ウルトラ一覧!$A:$L,10,FALSE),"")</f>
        <v/>
      </c>
    </row>
    <row r="39">
      <c r="D39" s="4" t="n"/>
      <c r="K39">
        <f>IFERROR(VLOOKUP($D39,ウルトラ一覧!$A:$L,2,FALSE),"")</f>
        <v/>
      </c>
      <c r="L39">
        <f>IFERROR(VLOOKUP($D39,ウルトラ一覧!$A:$L,3,FALSE),"")</f>
        <v/>
      </c>
      <c r="M39">
        <f>IFERROR(VLOOKUP($D39,ウルトラ一覧!$A:$L,4,FALSE),"")</f>
        <v/>
      </c>
      <c r="N39">
        <f>IFERROR(VLOOKUP($D39,ウルトラ一覧!$A:$L,8,FALSE),"")</f>
        <v/>
      </c>
      <c r="O39">
        <f>IFERROR(VLOOKUP($D39,ウルトラ一覧!$A:$L,9,FALSE),"")</f>
        <v/>
      </c>
      <c r="P39">
        <f>IFERROR(VLOOKUP($D39,ウルトラ一覧!$A:$L,10,FALSE),"")</f>
        <v/>
      </c>
    </row>
    <row r="40">
      <c r="D40" s="4" t="n"/>
      <c r="K40">
        <f>IFERROR(VLOOKUP($D40,ウルトラ一覧!$A:$L,2,FALSE),"")</f>
        <v/>
      </c>
      <c r="L40">
        <f>IFERROR(VLOOKUP($D40,ウルトラ一覧!$A:$L,3,FALSE),"")</f>
        <v/>
      </c>
      <c r="M40">
        <f>IFERROR(VLOOKUP($D40,ウルトラ一覧!$A:$L,4,FALSE),"")</f>
        <v/>
      </c>
      <c r="N40">
        <f>IFERROR(VLOOKUP($D40,ウルトラ一覧!$A:$L,8,FALSE),"")</f>
        <v/>
      </c>
      <c r="O40">
        <f>IFERROR(VLOOKUP($D40,ウルトラ一覧!$A:$L,9,FALSE),"")</f>
        <v/>
      </c>
      <c r="P40">
        <f>IFERROR(VLOOKUP($D40,ウルトラ一覧!$A:$L,10,FALSE),"")</f>
        <v/>
      </c>
    </row>
    <row r="41">
      <c r="D41" s="4" t="n"/>
      <c r="K41">
        <f>IFERROR(VLOOKUP($D41,ウルトラ一覧!$A:$L,2,FALSE),"")</f>
        <v/>
      </c>
      <c r="L41">
        <f>IFERROR(VLOOKUP($D41,ウルトラ一覧!$A:$L,3,FALSE),"")</f>
        <v/>
      </c>
      <c r="M41">
        <f>IFERROR(VLOOKUP($D41,ウルトラ一覧!$A:$L,4,FALSE),"")</f>
        <v/>
      </c>
      <c r="N41">
        <f>IFERROR(VLOOKUP($D41,ウルトラ一覧!$A:$L,8,FALSE),"")</f>
        <v/>
      </c>
      <c r="O41">
        <f>IFERROR(VLOOKUP($D41,ウルトラ一覧!$A:$L,9,FALSE),"")</f>
        <v/>
      </c>
      <c r="P41">
        <f>IFERROR(VLOOKUP($D41,ウルトラ一覧!$A:$L,10,FALSE),"")</f>
        <v/>
      </c>
    </row>
    <row r="42">
      <c r="D42" s="4" t="n"/>
      <c r="K42">
        <f>IFERROR(VLOOKUP($D42,ウルトラ一覧!$A:$L,2,FALSE),"")</f>
        <v/>
      </c>
      <c r="L42">
        <f>IFERROR(VLOOKUP($D42,ウルトラ一覧!$A:$L,3,FALSE),"")</f>
        <v/>
      </c>
      <c r="M42">
        <f>IFERROR(VLOOKUP($D42,ウルトラ一覧!$A:$L,4,FALSE),"")</f>
        <v/>
      </c>
      <c r="N42">
        <f>IFERROR(VLOOKUP($D42,ウルトラ一覧!$A:$L,8,FALSE),"")</f>
        <v/>
      </c>
      <c r="O42">
        <f>IFERROR(VLOOKUP($D42,ウルトラ一覧!$A:$L,9,FALSE),"")</f>
        <v/>
      </c>
      <c r="P42">
        <f>IFERROR(VLOOKUP($D42,ウルトラ一覧!$A:$L,10,FALSE),"")</f>
        <v/>
      </c>
    </row>
    <row r="43">
      <c r="D43" s="4" t="n"/>
      <c r="K43">
        <f>IFERROR(VLOOKUP($D43,ウルトラ一覧!$A:$L,2,FALSE),"")</f>
        <v/>
      </c>
      <c r="L43">
        <f>IFERROR(VLOOKUP($D43,ウルトラ一覧!$A:$L,3,FALSE),"")</f>
        <v/>
      </c>
      <c r="M43">
        <f>IFERROR(VLOOKUP($D43,ウルトラ一覧!$A:$L,4,FALSE),"")</f>
        <v/>
      </c>
      <c r="N43">
        <f>IFERROR(VLOOKUP($D43,ウルトラ一覧!$A:$L,8,FALSE),"")</f>
        <v/>
      </c>
      <c r="O43">
        <f>IFERROR(VLOOKUP($D43,ウルトラ一覧!$A:$L,9,FALSE),"")</f>
        <v/>
      </c>
      <c r="P43">
        <f>IFERROR(VLOOKUP($D43,ウルトラ一覧!$A:$L,10,FALSE),"")</f>
        <v/>
      </c>
    </row>
    <row r="44">
      <c r="D44" s="4" t="n"/>
      <c r="K44">
        <f>IFERROR(VLOOKUP($D44,ウルトラ一覧!$A:$L,2,FALSE),"")</f>
        <v/>
      </c>
      <c r="L44">
        <f>IFERROR(VLOOKUP($D44,ウルトラ一覧!$A:$L,3,FALSE),"")</f>
        <v/>
      </c>
      <c r="M44">
        <f>IFERROR(VLOOKUP($D44,ウルトラ一覧!$A:$L,4,FALSE),"")</f>
        <v/>
      </c>
      <c r="N44">
        <f>IFERROR(VLOOKUP($D44,ウルトラ一覧!$A:$L,8,FALSE),"")</f>
        <v/>
      </c>
      <c r="O44">
        <f>IFERROR(VLOOKUP($D44,ウルトラ一覧!$A:$L,9,FALSE),"")</f>
        <v/>
      </c>
      <c r="P44">
        <f>IFERROR(VLOOKUP($D44,ウルトラ一覧!$A:$L,10,FALSE),"")</f>
        <v/>
      </c>
    </row>
    <row r="45">
      <c r="D45" s="4" t="n"/>
      <c r="K45">
        <f>IFERROR(VLOOKUP($D45,ウルトラ一覧!$A:$L,2,FALSE),"")</f>
        <v/>
      </c>
      <c r="L45">
        <f>IFERROR(VLOOKUP($D45,ウルトラ一覧!$A:$L,3,FALSE),"")</f>
        <v/>
      </c>
      <c r="M45">
        <f>IFERROR(VLOOKUP($D45,ウルトラ一覧!$A:$L,4,FALSE),"")</f>
        <v/>
      </c>
      <c r="N45">
        <f>IFERROR(VLOOKUP($D45,ウルトラ一覧!$A:$L,8,FALSE),"")</f>
        <v/>
      </c>
      <c r="O45">
        <f>IFERROR(VLOOKUP($D45,ウルトラ一覧!$A:$L,9,FALSE),"")</f>
        <v/>
      </c>
      <c r="P45">
        <f>IFERROR(VLOOKUP($D45,ウルトラ一覧!$A:$L,10,FALSE),"")</f>
        <v/>
      </c>
    </row>
    <row r="46">
      <c r="D46" s="4" t="n"/>
      <c r="K46">
        <f>IFERROR(VLOOKUP($D46,ウルトラ一覧!$A:$L,2,FALSE),"")</f>
        <v/>
      </c>
      <c r="L46">
        <f>IFERROR(VLOOKUP($D46,ウルトラ一覧!$A:$L,3,FALSE),"")</f>
        <v/>
      </c>
      <c r="M46">
        <f>IFERROR(VLOOKUP($D46,ウルトラ一覧!$A:$L,4,FALSE),"")</f>
        <v/>
      </c>
      <c r="N46">
        <f>IFERROR(VLOOKUP($D46,ウルトラ一覧!$A:$L,8,FALSE),"")</f>
        <v/>
      </c>
      <c r="O46">
        <f>IFERROR(VLOOKUP($D46,ウルトラ一覧!$A:$L,9,FALSE),"")</f>
        <v/>
      </c>
      <c r="P46">
        <f>IFERROR(VLOOKUP($D46,ウルトラ一覧!$A:$L,10,FALSE),"")</f>
        <v/>
      </c>
    </row>
    <row r="47">
      <c r="D47" s="4" t="n"/>
      <c r="K47">
        <f>IFERROR(VLOOKUP($D47,ウルトラ一覧!$A:$L,2,FALSE),"")</f>
        <v/>
      </c>
      <c r="L47">
        <f>IFERROR(VLOOKUP($D47,ウルトラ一覧!$A:$L,3,FALSE),"")</f>
        <v/>
      </c>
      <c r="M47">
        <f>IFERROR(VLOOKUP($D47,ウルトラ一覧!$A:$L,4,FALSE),"")</f>
        <v/>
      </c>
      <c r="N47">
        <f>IFERROR(VLOOKUP($D47,ウルトラ一覧!$A:$L,8,FALSE),"")</f>
        <v/>
      </c>
      <c r="O47">
        <f>IFERROR(VLOOKUP($D47,ウルトラ一覧!$A:$L,9,FALSE),"")</f>
        <v/>
      </c>
      <c r="P47">
        <f>IFERROR(VLOOKUP($D47,ウルトラ一覧!$A:$L,10,FALSE),"")</f>
        <v/>
      </c>
    </row>
    <row r="48">
      <c r="D48" s="4" t="n"/>
      <c r="K48">
        <f>IFERROR(VLOOKUP($D48,ウルトラ一覧!$A:$L,2,FALSE),"")</f>
        <v/>
      </c>
      <c r="L48">
        <f>IFERROR(VLOOKUP($D48,ウルトラ一覧!$A:$L,3,FALSE),"")</f>
        <v/>
      </c>
      <c r="M48">
        <f>IFERROR(VLOOKUP($D48,ウルトラ一覧!$A:$L,4,FALSE),"")</f>
        <v/>
      </c>
      <c r="N48">
        <f>IFERROR(VLOOKUP($D48,ウルトラ一覧!$A:$L,8,FALSE),"")</f>
        <v/>
      </c>
      <c r="O48">
        <f>IFERROR(VLOOKUP($D48,ウルトラ一覧!$A:$L,9,FALSE),"")</f>
        <v/>
      </c>
      <c r="P48">
        <f>IFERROR(VLOOKUP($D48,ウルトラ一覧!$A:$L,10,FALSE),"")</f>
        <v/>
      </c>
    </row>
    <row r="49">
      <c r="D49" s="4" t="n"/>
      <c r="K49">
        <f>IFERROR(VLOOKUP($D49,ウルトラ一覧!$A:$L,2,FALSE),"")</f>
        <v/>
      </c>
      <c r="L49">
        <f>IFERROR(VLOOKUP($D49,ウルトラ一覧!$A:$L,3,FALSE),"")</f>
        <v/>
      </c>
      <c r="M49">
        <f>IFERROR(VLOOKUP($D49,ウルトラ一覧!$A:$L,4,FALSE),"")</f>
        <v/>
      </c>
      <c r="N49">
        <f>IFERROR(VLOOKUP($D49,ウルトラ一覧!$A:$L,8,FALSE),"")</f>
        <v/>
      </c>
      <c r="O49">
        <f>IFERROR(VLOOKUP($D49,ウルトラ一覧!$A:$L,9,FALSE),"")</f>
        <v/>
      </c>
      <c r="P49">
        <f>IFERROR(VLOOKUP($D49,ウルトラ一覧!$A:$L,10,FALSE),"")</f>
        <v/>
      </c>
    </row>
    <row r="50">
      <c r="D50" s="4" t="n"/>
      <c r="K50">
        <f>IFERROR(VLOOKUP($D50,ウルトラ一覧!$A:$L,2,FALSE),"")</f>
        <v/>
      </c>
      <c r="L50">
        <f>IFERROR(VLOOKUP($D50,ウルトラ一覧!$A:$L,3,FALSE),"")</f>
        <v/>
      </c>
      <c r="M50">
        <f>IFERROR(VLOOKUP($D50,ウルトラ一覧!$A:$L,4,FALSE),"")</f>
        <v/>
      </c>
      <c r="N50">
        <f>IFERROR(VLOOKUP($D50,ウルトラ一覧!$A:$L,8,FALSE),"")</f>
        <v/>
      </c>
      <c r="O50">
        <f>IFERROR(VLOOKUP($D50,ウルトラ一覧!$A:$L,9,FALSE),"")</f>
        <v/>
      </c>
      <c r="P50">
        <f>IFERROR(VLOOKUP($D50,ウルトラ一覧!$A:$L,10,FALSE),"")</f>
        <v/>
      </c>
    </row>
    <row r="51">
      <c r="D51" s="4" t="n"/>
      <c r="K51">
        <f>IFERROR(VLOOKUP($D51,ウルトラ一覧!$A:$L,2,FALSE),"")</f>
        <v/>
      </c>
      <c r="L51">
        <f>IFERROR(VLOOKUP($D51,ウルトラ一覧!$A:$L,3,FALSE),"")</f>
        <v/>
      </c>
      <c r="M51">
        <f>IFERROR(VLOOKUP($D51,ウルトラ一覧!$A:$L,4,FALSE),"")</f>
        <v/>
      </c>
      <c r="N51">
        <f>IFERROR(VLOOKUP($D51,ウルトラ一覧!$A:$L,8,FALSE),"")</f>
        <v/>
      </c>
      <c r="O51">
        <f>IFERROR(VLOOKUP($D51,ウルトラ一覧!$A:$L,9,FALSE),"")</f>
        <v/>
      </c>
      <c r="P51">
        <f>IFERROR(VLOOKUP($D51,ウルトラ一覧!$A:$L,10,FALSE),"")</f>
        <v/>
      </c>
    </row>
    <row r="52">
      <c r="D52" s="4" t="n"/>
      <c r="K52">
        <f>IFERROR(VLOOKUP($D52,ウルトラ一覧!$A:$L,2,FALSE),"")</f>
        <v/>
      </c>
      <c r="L52">
        <f>IFERROR(VLOOKUP($D52,ウルトラ一覧!$A:$L,3,FALSE),"")</f>
        <v/>
      </c>
      <c r="M52">
        <f>IFERROR(VLOOKUP($D52,ウルトラ一覧!$A:$L,4,FALSE),"")</f>
        <v/>
      </c>
      <c r="N52">
        <f>IFERROR(VLOOKUP($D52,ウルトラ一覧!$A:$L,8,FALSE),"")</f>
        <v/>
      </c>
      <c r="O52">
        <f>IFERROR(VLOOKUP($D52,ウルトラ一覧!$A:$L,9,FALSE),"")</f>
        <v/>
      </c>
      <c r="P52">
        <f>IFERROR(VLOOKUP($D52,ウルトラ一覧!$A:$L,10,FALSE),"")</f>
        <v/>
      </c>
    </row>
    <row r="53">
      <c r="D53" s="4" t="n"/>
      <c r="K53">
        <f>IFERROR(VLOOKUP($D53,ウルトラ一覧!$A:$L,2,FALSE),"")</f>
        <v/>
      </c>
      <c r="L53">
        <f>IFERROR(VLOOKUP($D53,ウルトラ一覧!$A:$L,3,FALSE),"")</f>
        <v/>
      </c>
      <c r="M53">
        <f>IFERROR(VLOOKUP($D53,ウルトラ一覧!$A:$L,4,FALSE),"")</f>
        <v/>
      </c>
      <c r="N53">
        <f>IFERROR(VLOOKUP($D53,ウルトラ一覧!$A:$L,8,FALSE),"")</f>
        <v/>
      </c>
      <c r="O53">
        <f>IFERROR(VLOOKUP($D53,ウルトラ一覧!$A:$L,9,FALSE),"")</f>
        <v/>
      </c>
      <c r="P53">
        <f>IFERROR(VLOOKUP($D53,ウルトラ一覧!$A:$L,10,FALSE),"")</f>
        <v/>
      </c>
    </row>
    <row r="54">
      <c r="D54" s="4" t="n"/>
      <c r="K54">
        <f>IFERROR(VLOOKUP($D54,ウルトラ一覧!$A:$L,2,FALSE),"")</f>
        <v/>
      </c>
      <c r="L54">
        <f>IFERROR(VLOOKUP($D54,ウルトラ一覧!$A:$L,3,FALSE),"")</f>
        <v/>
      </c>
      <c r="M54">
        <f>IFERROR(VLOOKUP($D54,ウルトラ一覧!$A:$L,4,FALSE),"")</f>
        <v/>
      </c>
      <c r="N54">
        <f>IFERROR(VLOOKUP($D54,ウルトラ一覧!$A:$L,8,FALSE),"")</f>
        <v/>
      </c>
      <c r="O54">
        <f>IFERROR(VLOOKUP($D54,ウルトラ一覧!$A:$L,9,FALSE),"")</f>
        <v/>
      </c>
      <c r="P54">
        <f>IFERROR(VLOOKUP($D54,ウルトラ一覧!$A:$L,10,FALSE),"")</f>
        <v/>
      </c>
    </row>
    <row r="55">
      <c r="D55" s="4" t="n"/>
      <c r="K55">
        <f>IFERROR(VLOOKUP($D55,ウルトラ一覧!$A:$L,2,FALSE),"")</f>
        <v/>
      </c>
      <c r="L55">
        <f>IFERROR(VLOOKUP($D55,ウルトラ一覧!$A:$L,3,FALSE),"")</f>
        <v/>
      </c>
      <c r="M55">
        <f>IFERROR(VLOOKUP($D55,ウルトラ一覧!$A:$L,4,FALSE),"")</f>
        <v/>
      </c>
      <c r="N55">
        <f>IFERROR(VLOOKUP($D55,ウルトラ一覧!$A:$L,8,FALSE),"")</f>
        <v/>
      </c>
      <c r="O55">
        <f>IFERROR(VLOOKUP($D55,ウルトラ一覧!$A:$L,9,FALSE),"")</f>
        <v/>
      </c>
      <c r="P55">
        <f>IFERROR(VLOOKUP($D55,ウルトラ一覧!$A:$L,10,FALSE),"")</f>
        <v/>
      </c>
    </row>
    <row r="56">
      <c r="D56" s="4" t="n"/>
      <c r="K56">
        <f>IFERROR(VLOOKUP($D56,ウルトラ一覧!$A:$L,2,FALSE),"")</f>
        <v/>
      </c>
      <c r="L56">
        <f>IFERROR(VLOOKUP($D56,ウルトラ一覧!$A:$L,3,FALSE),"")</f>
        <v/>
      </c>
      <c r="M56">
        <f>IFERROR(VLOOKUP($D56,ウルトラ一覧!$A:$L,4,FALSE),"")</f>
        <v/>
      </c>
      <c r="N56">
        <f>IFERROR(VLOOKUP($D56,ウルトラ一覧!$A:$L,8,FALSE),"")</f>
        <v/>
      </c>
      <c r="O56">
        <f>IFERROR(VLOOKUP($D56,ウルトラ一覧!$A:$L,9,FALSE),"")</f>
        <v/>
      </c>
      <c r="P56">
        <f>IFERROR(VLOOKUP($D56,ウルトラ一覧!$A:$L,10,FALSE),"")</f>
        <v/>
      </c>
    </row>
    <row r="57">
      <c r="D57" s="4" t="n"/>
      <c r="K57">
        <f>IFERROR(VLOOKUP($D57,ウルトラ一覧!$A:$L,2,FALSE),"")</f>
        <v/>
      </c>
      <c r="L57">
        <f>IFERROR(VLOOKUP($D57,ウルトラ一覧!$A:$L,3,FALSE),"")</f>
        <v/>
      </c>
      <c r="M57">
        <f>IFERROR(VLOOKUP($D57,ウルトラ一覧!$A:$L,4,FALSE),"")</f>
        <v/>
      </c>
      <c r="N57">
        <f>IFERROR(VLOOKUP($D57,ウルトラ一覧!$A:$L,8,FALSE),"")</f>
        <v/>
      </c>
      <c r="O57">
        <f>IFERROR(VLOOKUP($D57,ウルトラ一覧!$A:$L,9,FALSE),"")</f>
        <v/>
      </c>
      <c r="P57">
        <f>IFERROR(VLOOKUP($D57,ウルトラ一覧!$A:$L,10,FALSE),"")</f>
        <v/>
      </c>
    </row>
    <row r="58">
      <c r="D58" s="4" t="n"/>
      <c r="K58">
        <f>IFERROR(VLOOKUP($D58,ウルトラ一覧!$A:$L,2,FALSE),"")</f>
        <v/>
      </c>
      <c r="L58">
        <f>IFERROR(VLOOKUP($D58,ウルトラ一覧!$A:$L,3,FALSE),"")</f>
        <v/>
      </c>
      <c r="M58">
        <f>IFERROR(VLOOKUP($D58,ウルトラ一覧!$A:$L,4,FALSE),"")</f>
        <v/>
      </c>
      <c r="N58">
        <f>IFERROR(VLOOKUP($D58,ウルトラ一覧!$A:$L,8,FALSE),"")</f>
        <v/>
      </c>
      <c r="O58">
        <f>IFERROR(VLOOKUP($D58,ウルトラ一覧!$A:$L,9,FALSE),"")</f>
        <v/>
      </c>
      <c r="P58">
        <f>IFERROR(VLOOKUP($D58,ウルトラ一覧!$A:$L,10,FALSE),"")</f>
        <v/>
      </c>
    </row>
    <row r="59">
      <c r="D59" s="4" t="n"/>
      <c r="K59">
        <f>IFERROR(VLOOKUP($D59,ウルトラ一覧!$A:$L,2,FALSE),"")</f>
        <v/>
      </c>
      <c r="L59">
        <f>IFERROR(VLOOKUP($D59,ウルトラ一覧!$A:$L,3,FALSE),"")</f>
        <v/>
      </c>
      <c r="M59">
        <f>IFERROR(VLOOKUP($D59,ウルトラ一覧!$A:$L,4,FALSE),"")</f>
        <v/>
      </c>
      <c r="N59">
        <f>IFERROR(VLOOKUP($D59,ウルトラ一覧!$A:$L,8,FALSE),"")</f>
        <v/>
      </c>
      <c r="O59">
        <f>IFERROR(VLOOKUP($D59,ウルトラ一覧!$A:$L,9,FALSE),"")</f>
        <v/>
      </c>
      <c r="P59">
        <f>IFERROR(VLOOKUP($D59,ウルトラ一覧!$A:$L,10,FALSE),"")</f>
        <v/>
      </c>
    </row>
    <row r="60">
      <c r="D60" s="4" t="n"/>
      <c r="K60">
        <f>IFERROR(VLOOKUP($D60,ウルトラ一覧!$A:$L,2,FALSE),"")</f>
        <v/>
      </c>
      <c r="L60">
        <f>IFERROR(VLOOKUP($D60,ウルトラ一覧!$A:$L,3,FALSE),"")</f>
        <v/>
      </c>
      <c r="M60">
        <f>IFERROR(VLOOKUP($D60,ウルトラ一覧!$A:$L,4,FALSE),"")</f>
        <v/>
      </c>
      <c r="N60">
        <f>IFERROR(VLOOKUP($D60,ウルトラ一覧!$A:$L,8,FALSE),"")</f>
        <v/>
      </c>
      <c r="O60">
        <f>IFERROR(VLOOKUP($D60,ウルトラ一覧!$A:$L,9,FALSE),"")</f>
        <v/>
      </c>
      <c r="P60">
        <f>IFERROR(VLOOKUP($D60,ウルトラ一覧!$A:$L,10,FALSE),"")</f>
        <v/>
      </c>
    </row>
    <row r="61">
      <c r="D61" s="4" t="n"/>
      <c r="K61">
        <f>IFERROR(VLOOKUP($D61,ウルトラ一覧!$A:$L,2,FALSE),"")</f>
        <v/>
      </c>
      <c r="L61">
        <f>IFERROR(VLOOKUP($D61,ウルトラ一覧!$A:$L,3,FALSE),"")</f>
        <v/>
      </c>
      <c r="M61">
        <f>IFERROR(VLOOKUP($D61,ウルトラ一覧!$A:$L,4,FALSE),"")</f>
        <v/>
      </c>
      <c r="N61">
        <f>IFERROR(VLOOKUP($D61,ウルトラ一覧!$A:$L,8,FALSE),"")</f>
        <v/>
      </c>
      <c r="O61">
        <f>IFERROR(VLOOKUP($D61,ウルトラ一覧!$A:$L,9,FALSE),"")</f>
        <v/>
      </c>
      <c r="P61">
        <f>IFERROR(VLOOKUP($D61,ウルトラ一覧!$A:$L,10,FALSE),"")</f>
        <v/>
      </c>
    </row>
    <row r="62">
      <c r="D62" s="4" t="n"/>
      <c r="K62">
        <f>IFERROR(VLOOKUP($D62,ウルトラ一覧!$A:$L,2,FALSE),"")</f>
        <v/>
      </c>
      <c r="L62">
        <f>IFERROR(VLOOKUP($D62,ウルトラ一覧!$A:$L,3,FALSE),"")</f>
        <v/>
      </c>
      <c r="M62">
        <f>IFERROR(VLOOKUP($D62,ウルトラ一覧!$A:$L,4,FALSE),"")</f>
        <v/>
      </c>
      <c r="N62">
        <f>IFERROR(VLOOKUP($D62,ウルトラ一覧!$A:$L,8,FALSE),"")</f>
        <v/>
      </c>
      <c r="O62">
        <f>IFERROR(VLOOKUP($D62,ウルトラ一覧!$A:$L,9,FALSE),"")</f>
        <v/>
      </c>
      <c r="P62">
        <f>IFERROR(VLOOKUP($D62,ウルトラ一覧!$A:$L,10,FALSE),"")</f>
        <v/>
      </c>
    </row>
    <row r="63">
      <c r="D63" s="4" t="n"/>
      <c r="K63">
        <f>IFERROR(VLOOKUP($D63,ウルトラ一覧!$A:$L,2,FALSE),"")</f>
        <v/>
      </c>
      <c r="L63">
        <f>IFERROR(VLOOKUP($D63,ウルトラ一覧!$A:$L,3,FALSE),"")</f>
        <v/>
      </c>
      <c r="M63">
        <f>IFERROR(VLOOKUP($D63,ウルトラ一覧!$A:$L,4,FALSE),"")</f>
        <v/>
      </c>
      <c r="N63">
        <f>IFERROR(VLOOKUP($D63,ウルトラ一覧!$A:$L,8,FALSE),"")</f>
        <v/>
      </c>
      <c r="O63">
        <f>IFERROR(VLOOKUP($D63,ウルトラ一覧!$A:$L,9,FALSE),"")</f>
        <v/>
      </c>
      <c r="P63">
        <f>IFERROR(VLOOKUP($D63,ウルトラ一覧!$A:$L,10,FALSE),"")</f>
        <v/>
      </c>
    </row>
    <row r="64">
      <c r="D64" s="4" t="n"/>
      <c r="K64">
        <f>IFERROR(VLOOKUP($D64,ウルトラ一覧!$A:$L,2,FALSE),"")</f>
        <v/>
      </c>
      <c r="L64">
        <f>IFERROR(VLOOKUP($D64,ウルトラ一覧!$A:$L,3,FALSE),"")</f>
        <v/>
      </c>
      <c r="M64">
        <f>IFERROR(VLOOKUP($D64,ウルトラ一覧!$A:$L,4,FALSE),"")</f>
        <v/>
      </c>
      <c r="N64">
        <f>IFERROR(VLOOKUP($D64,ウルトラ一覧!$A:$L,8,FALSE),"")</f>
        <v/>
      </c>
      <c r="O64">
        <f>IFERROR(VLOOKUP($D64,ウルトラ一覧!$A:$L,9,FALSE),"")</f>
        <v/>
      </c>
      <c r="P64">
        <f>IFERROR(VLOOKUP($D64,ウルトラ一覧!$A:$L,10,FALSE),"")</f>
        <v/>
      </c>
    </row>
    <row r="65">
      <c r="D65" s="4" t="n"/>
      <c r="K65">
        <f>IFERROR(VLOOKUP($D65,ウルトラ一覧!$A:$L,2,FALSE),"")</f>
        <v/>
      </c>
      <c r="L65">
        <f>IFERROR(VLOOKUP($D65,ウルトラ一覧!$A:$L,3,FALSE),"")</f>
        <v/>
      </c>
      <c r="M65">
        <f>IFERROR(VLOOKUP($D65,ウルトラ一覧!$A:$L,4,FALSE),"")</f>
        <v/>
      </c>
      <c r="N65">
        <f>IFERROR(VLOOKUP($D65,ウルトラ一覧!$A:$L,8,FALSE),"")</f>
        <v/>
      </c>
      <c r="O65">
        <f>IFERROR(VLOOKUP($D65,ウルトラ一覧!$A:$L,9,FALSE),"")</f>
        <v/>
      </c>
      <c r="P65">
        <f>IFERROR(VLOOKUP($D65,ウルトラ一覧!$A:$L,10,FALSE),"")</f>
        <v/>
      </c>
    </row>
    <row r="66">
      <c r="D66" s="4" t="n"/>
      <c r="K66">
        <f>IFERROR(VLOOKUP($D66,ウルトラ一覧!$A:$L,2,FALSE),"")</f>
        <v/>
      </c>
      <c r="L66">
        <f>IFERROR(VLOOKUP($D66,ウルトラ一覧!$A:$L,3,FALSE),"")</f>
        <v/>
      </c>
      <c r="M66">
        <f>IFERROR(VLOOKUP($D66,ウルトラ一覧!$A:$L,4,FALSE),"")</f>
        <v/>
      </c>
      <c r="N66">
        <f>IFERROR(VLOOKUP($D66,ウルトラ一覧!$A:$L,8,FALSE),"")</f>
        <v/>
      </c>
      <c r="O66">
        <f>IFERROR(VLOOKUP($D66,ウルトラ一覧!$A:$L,9,FALSE),"")</f>
        <v/>
      </c>
      <c r="P66">
        <f>IFERROR(VLOOKUP($D66,ウルトラ一覧!$A:$L,10,FALSE),"")</f>
        <v/>
      </c>
    </row>
    <row r="67">
      <c r="D67" s="4" t="n"/>
      <c r="K67">
        <f>IFERROR(VLOOKUP($D67,ウルトラ一覧!$A:$L,2,FALSE),"")</f>
        <v/>
      </c>
      <c r="L67">
        <f>IFERROR(VLOOKUP($D67,ウルトラ一覧!$A:$L,3,FALSE),"")</f>
        <v/>
      </c>
      <c r="M67">
        <f>IFERROR(VLOOKUP($D67,ウルトラ一覧!$A:$L,4,FALSE),"")</f>
        <v/>
      </c>
      <c r="N67">
        <f>IFERROR(VLOOKUP($D67,ウルトラ一覧!$A:$L,8,FALSE),"")</f>
        <v/>
      </c>
      <c r="O67">
        <f>IFERROR(VLOOKUP($D67,ウルトラ一覧!$A:$L,9,FALSE),"")</f>
        <v/>
      </c>
      <c r="P67">
        <f>IFERROR(VLOOKUP($D67,ウルトラ一覧!$A:$L,10,FALSE),"")</f>
        <v/>
      </c>
    </row>
    <row r="68">
      <c r="D68" s="4" t="n"/>
      <c r="K68">
        <f>IFERROR(VLOOKUP($D68,ウルトラ一覧!$A:$L,2,FALSE),"")</f>
        <v/>
      </c>
      <c r="L68">
        <f>IFERROR(VLOOKUP($D68,ウルトラ一覧!$A:$L,3,FALSE),"")</f>
        <v/>
      </c>
      <c r="M68">
        <f>IFERROR(VLOOKUP($D68,ウルトラ一覧!$A:$L,4,FALSE),"")</f>
        <v/>
      </c>
      <c r="N68">
        <f>IFERROR(VLOOKUP($D68,ウルトラ一覧!$A:$L,8,FALSE),"")</f>
        <v/>
      </c>
      <c r="O68">
        <f>IFERROR(VLOOKUP($D68,ウルトラ一覧!$A:$L,9,FALSE),"")</f>
        <v/>
      </c>
      <c r="P68">
        <f>IFERROR(VLOOKUP($D68,ウルトラ一覧!$A:$L,10,FALSE),"")</f>
        <v/>
      </c>
    </row>
    <row r="69">
      <c r="D69" s="4" t="n"/>
      <c r="K69">
        <f>IFERROR(VLOOKUP($D69,ウルトラ一覧!$A:$L,2,FALSE),"")</f>
        <v/>
      </c>
      <c r="L69">
        <f>IFERROR(VLOOKUP($D69,ウルトラ一覧!$A:$L,3,FALSE),"")</f>
        <v/>
      </c>
      <c r="M69">
        <f>IFERROR(VLOOKUP($D69,ウルトラ一覧!$A:$L,4,FALSE),"")</f>
        <v/>
      </c>
      <c r="N69">
        <f>IFERROR(VLOOKUP($D69,ウルトラ一覧!$A:$L,8,FALSE),"")</f>
        <v/>
      </c>
      <c r="O69">
        <f>IFERROR(VLOOKUP($D69,ウルトラ一覧!$A:$L,9,FALSE),"")</f>
        <v/>
      </c>
      <c r="P69">
        <f>IFERROR(VLOOKUP($D69,ウルトラ一覧!$A:$L,10,FALSE),"")</f>
        <v/>
      </c>
    </row>
    <row r="70">
      <c r="D70" s="4" t="n"/>
      <c r="K70">
        <f>IFERROR(VLOOKUP($D70,ウルトラ一覧!$A:$L,2,FALSE),"")</f>
        <v/>
      </c>
      <c r="L70">
        <f>IFERROR(VLOOKUP($D70,ウルトラ一覧!$A:$L,3,FALSE),"")</f>
        <v/>
      </c>
      <c r="M70">
        <f>IFERROR(VLOOKUP($D70,ウルトラ一覧!$A:$L,4,FALSE),"")</f>
        <v/>
      </c>
      <c r="N70">
        <f>IFERROR(VLOOKUP($D70,ウルトラ一覧!$A:$L,8,FALSE),"")</f>
        <v/>
      </c>
      <c r="O70">
        <f>IFERROR(VLOOKUP($D70,ウルトラ一覧!$A:$L,9,FALSE),"")</f>
        <v/>
      </c>
      <c r="P70">
        <f>IFERROR(VLOOKUP($D70,ウルトラ一覧!$A:$L,10,FALSE),"")</f>
        <v/>
      </c>
    </row>
    <row r="71">
      <c r="D71" s="4" t="n"/>
      <c r="K71">
        <f>IFERROR(VLOOKUP($D71,ウルトラ一覧!$A:$L,2,FALSE),"")</f>
        <v/>
      </c>
      <c r="L71">
        <f>IFERROR(VLOOKUP($D71,ウルトラ一覧!$A:$L,3,FALSE),"")</f>
        <v/>
      </c>
      <c r="M71">
        <f>IFERROR(VLOOKUP($D71,ウルトラ一覧!$A:$L,4,FALSE),"")</f>
        <v/>
      </c>
      <c r="N71">
        <f>IFERROR(VLOOKUP($D71,ウルトラ一覧!$A:$L,8,FALSE),"")</f>
        <v/>
      </c>
      <c r="O71">
        <f>IFERROR(VLOOKUP($D71,ウルトラ一覧!$A:$L,9,FALSE),"")</f>
        <v/>
      </c>
      <c r="P71">
        <f>IFERROR(VLOOKUP($D71,ウルトラ一覧!$A:$L,10,FALSE),"")</f>
        <v/>
      </c>
    </row>
    <row r="72">
      <c r="D72" s="4" t="n"/>
      <c r="K72">
        <f>IFERROR(VLOOKUP($D72,ウルトラ一覧!$A:$L,2,FALSE),"")</f>
        <v/>
      </c>
      <c r="L72">
        <f>IFERROR(VLOOKUP($D72,ウルトラ一覧!$A:$L,3,FALSE),"")</f>
        <v/>
      </c>
      <c r="M72">
        <f>IFERROR(VLOOKUP($D72,ウルトラ一覧!$A:$L,4,FALSE),"")</f>
        <v/>
      </c>
      <c r="N72">
        <f>IFERROR(VLOOKUP($D72,ウルトラ一覧!$A:$L,8,FALSE),"")</f>
        <v/>
      </c>
      <c r="O72">
        <f>IFERROR(VLOOKUP($D72,ウルトラ一覧!$A:$L,9,FALSE),"")</f>
        <v/>
      </c>
      <c r="P72">
        <f>IFERROR(VLOOKUP($D72,ウルトラ一覧!$A:$L,10,FALSE),"")</f>
        <v/>
      </c>
    </row>
    <row r="73">
      <c r="D73" s="4" t="n"/>
      <c r="K73">
        <f>IFERROR(VLOOKUP($D73,ウルトラ一覧!$A:$L,2,FALSE),"")</f>
        <v/>
      </c>
      <c r="L73">
        <f>IFERROR(VLOOKUP($D73,ウルトラ一覧!$A:$L,3,FALSE),"")</f>
        <v/>
      </c>
      <c r="M73">
        <f>IFERROR(VLOOKUP($D73,ウルトラ一覧!$A:$L,4,FALSE),"")</f>
        <v/>
      </c>
      <c r="N73">
        <f>IFERROR(VLOOKUP($D73,ウルトラ一覧!$A:$L,8,FALSE),"")</f>
        <v/>
      </c>
      <c r="O73">
        <f>IFERROR(VLOOKUP($D73,ウルトラ一覧!$A:$L,9,FALSE),"")</f>
        <v/>
      </c>
      <c r="P73">
        <f>IFERROR(VLOOKUP($D73,ウルトラ一覧!$A:$L,10,FALSE),"")</f>
        <v/>
      </c>
    </row>
    <row r="74">
      <c r="D74" s="4" t="n"/>
      <c r="K74">
        <f>IFERROR(VLOOKUP($D74,ウルトラ一覧!$A:$L,2,FALSE),"")</f>
        <v/>
      </c>
      <c r="L74">
        <f>IFERROR(VLOOKUP($D74,ウルトラ一覧!$A:$L,3,FALSE),"")</f>
        <v/>
      </c>
      <c r="M74">
        <f>IFERROR(VLOOKUP($D74,ウルトラ一覧!$A:$L,4,FALSE),"")</f>
        <v/>
      </c>
      <c r="N74">
        <f>IFERROR(VLOOKUP($D74,ウルトラ一覧!$A:$L,8,FALSE),"")</f>
        <v/>
      </c>
      <c r="O74">
        <f>IFERROR(VLOOKUP($D74,ウルトラ一覧!$A:$L,9,FALSE),"")</f>
        <v/>
      </c>
      <c r="P74">
        <f>IFERROR(VLOOKUP($D74,ウルトラ一覧!$A:$L,10,FALSE),"")</f>
        <v/>
      </c>
    </row>
    <row r="75">
      <c r="D75" s="4" t="n"/>
      <c r="K75">
        <f>IFERROR(VLOOKUP($D75,ウルトラ一覧!$A:$L,2,FALSE),"")</f>
        <v/>
      </c>
      <c r="L75">
        <f>IFERROR(VLOOKUP($D75,ウルトラ一覧!$A:$L,3,FALSE),"")</f>
        <v/>
      </c>
      <c r="M75">
        <f>IFERROR(VLOOKUP($D75,ウルトラ一覧!$A:$L,4,FALSE),"")</f>
        <v/>
      </c>
      <c r="N75">
        <f>IFERROR(VLOOKUP($D75,ウルトラ一覧!$A:$L,8,FALSE),"")</f>
        <v/>
      </c>
      <c r="O75">
        <f>IFERROR(VLOOKUP($D75,ウルトラ一覧!$A:$L,9,FALSE),"")</f>
        <v/>
      </c>
      <c r="P75">
        <f>IFERROR(VLOOKUP($D75,ウルトラ一覧!$A:$L,10,FALSE),"")</f>
        <v/>
      </c>
    </row>
    <row r="76">
      <c r="D76" s="4" t="n"/>
      <c r="K76">
        <f>IFERROR(VLOOKUP($D76,ウルトラ一覧!$A:$L,2,FALSE),"")</f>
        <v/>
      </c>
      <c r="L76">
        <f>IFERROR(VLOOKUP($D76,ウルトラ一覧!$A:$L,3,FALSE),"")</f>
        <v/>
      </c>
      <c r="M76">
        <f>IFERROR(VLOOKUP($D76,ウルトラ一覧!$A:$L,4,FALSE),"")</f>
        <v/>
      </c>
      <c r="N76">
        <f>IFERROR(VLOOKUP($D76,ウルトラ一覧!$A:$L,8,FALSE),"")</f>
        <v/>
      </c>
      <c r="O76">
        <f>IFERROR(VLOOKUP($D76,ウルトラ一覧!$A:$L,9,FALSE),"")</f>
        <v/>
      </c>
      <c r="P76">
        <f>IFERROR(VLOOKUP($D76,ウルトラ一覧!$A:$L,10,FALSE),"")</f>
        <v/>
      </c>
    </row>
    <row r="77">
      <c r="D77" s="4" t="n"/>
      <c r="K77">
        <f>IFERROR(VLOOKUP($D77,ウルトラ一覧!$A:$L,2,FALSE),"")</f>
        <v/>
      </c>
      <c r="L77">
        <f>IFERROR(VLOOKUP($D77,ウルトラ一覧!$A:$L,3,FALSE),"")</f>
        <v/>
      </c>
      <c r="M77">
        <f>IFERROR(VLOOKUP($D77,ウルトラ一覧!$A:$L,4,FALSE),"")</f>
        <v/>
      </c>
      <c r="N77">
        <f>IFERROR(VLOOKUP($D77,ウルトラ一覧!$A:$L,8,FALSE),"")</f>
        <v/>
      </c>
      <c r="O77">
        <f>IFERROR(VLOOKUP($D77,ウルトラ一覧!$A:$L,9,FALSE),"")</f>
        <v/>
      </c>
      <c r="P77">
        <f>IFERROR(VLOOKUP($D77,ウルトラ一覧!$A:$L,10,FALSE),"")</f>
        <v/>
      </c>
    </row>
    <row r="78">
      <c r="D78" s="4" t="n"/>
      <c r="K78">
        <f>IFERROR(VLOOKUP($D78,ウルトラ一覧!$A:$L,2,FALSE),"")</f>
        <v/>
      </c>
      <c r="L78">
        <f>IFERROR(VLOOKUP($D78,ウルトラ一覧!$A:$L,3,FALSE),"")</f>
        <v/>
      </c>
      <c r="M78">
        <f>IFERROR(VLOOKUP($D78,ウルトラ一覧!$A:$L,4,FALSE),"")</f>
        <v/>
      </c>
      <c r="N78">
        <f>IFERROR(VLOOKUP($D78,ウルトラ一覧!$A:$L,8,FALSE),"")</f>
        <v/>
      </c>
      <c r="O78">
        <f>IFERROR(VLOOKUP($D78,ウルトラ一覧!$A:$L,9,FALSE),"")</f>
        <v/>
      </c>
      <c r="P78">
        <f>IFERROR(VLOOKUP($D78,ウルトラ一覧!$A:$L,10,FALSE),"")</f>
        <v/>
      </c>
    </row>
    <row r="79">
      <c r="D79" s="4" t="n"/>
      <c r="K79">
        <f>IFERROR(VLOOKUP($D79,ウルトラ一覧!$A:$L,2,FALSE),"")</f>
        <v/>
      </c>
      <c r="L79">
        <f>IFERROR(VLOOKUP($D79,ウルトラ一覧!$A:$L,3,FALSE),"")</f>
        <v/>
      </c>
      <c r="M79">
        <f>IFERROR(VLOOKUP($D79,ウルトラ一覧!$A:$L,4,FALSE),"")</f>
        <v/>
      </c>
      <c r="N79">
        <f>IFERROR(VLOOKUP($D79,ウルトラ一覧!$A:$L,8,FALSE),"")</f>
        <v/>
      </c>
      <c r="O79">
        <f>IFERROR(VLOOKUP($D79,ウルトラ一覧!$A:$L,9,FALSE),"")</f>
        <v/>
      </c>
      <c r="P79">
        <f>IFERROR(VLOOKUP($D79,ウルトラ一覧!$A:$L,10,FALSE),"")</f>
        <v/>
      </c>
    </row>
    <row r="80">
      <c r="D80" s="4" t="n"/>
      <c r="K80">
        <f>IFERROR(VLOOKUP($D80,ウルトラ一覧!$A:$L,2,FALSE),"")</f>
        <v/>
      </c>
      <c r="L80">
        <f>IFERROR(VLOOKUP($D80,ウルトラ一覧!$A:$L,3,FALSE),"")</f>
        <v/>
      </c>
      <c r="M80">
        <f>IFERROR(VLOOKUP($D80,ウルトラ一覧!$A:$L,4,FALSE),"")</f>
        <v/>
      </c>
      <c r="N80">
        <f>IFERROR(VLOOKUP($D80,ウルトラ一覧!$A:$L,8,FALSE),"")</f>
        <v/>
      </c>
      <c r="O80">
        <f>IFERROR(VLOOKUP($D80,ウルトラ一覧!$A:$L,9,FALSE),"")</f>
        <v/>
      </c>
      <c r="P80">
        <f>IFERROR(VLOOKUP($D80,ウルトラ一覧!$A:$L,10,FALSE),"")</f>
        <v/>
      </c>
    </row>
    <row r="81">
      <c r="D81" s="4" t="n"/>
      <c r="K81">
        <f>IFERROR(VLOOKUP($D81,ウルトラ一覧!$A:$L,2,FALSE),"")</f>
        <v/>
      </c>
      <c r="L81">
        <f>IFERROR(VLOOKUP($D81,ウルトラ一覧!$A:$L,3,FALSE),"")</f>
        <v/>
      </c>
      <c r="M81">
        <f>IFERROR(VLOOKUP($D81,ウルトラ一覧!$A:$L,4,FALSE),"")</f>
        <v/>
      </c>
      <c r="N81">
        <f>IFERROR(VLOOKUP($D81,ウルトラ一覧!$A:$L,8,FALSE),"")</f>
        <v/>
      </c>
      <c r="O81">
        <f>IFERROR(VLOOKUP($D81,ウルトラ一覧!$A:$L,9,FALSE),"")</f>
        <v/>
      </c>
      <c r="P81">
        <f>IFERROR(VLOOKUP($D81,ウルトラ一覧!$A:$L,10,FALSE),"")</f>
        <v/>
      </c>
    </row>
    <row r="82">
      <c r="D82" s="4" t="n"/>
      <c r="K82">
        <f>IFERROR(VLOOKUP($D82,ウルトラ一覧!$A:$L,2,FALSE),"")</f>
        <v/>
      </c>
      <c r="L82">
        <f>IFERROR(VLOOKUP($D82,ウルトラ一覧!$A:$L,3,FALSE),"")</f>
        <v/>
      </c>
      <c r="M82">
        <f>IFERROR(VLOOKUP($D82,ウルトラ一覧!$A:$L,4,FALSE),"")</f>
        <v/>
      </c>
      <c r="N82">
        <f>IFERROR(VLOOKUP($D82,ウルトラ一覧!$A:$L,8,FALSE),"")</f>
        <v/>
      </c>
      <c r="O82">
        <f>IFERROR(VLOOKUP($D82,ウルトラ一覧!$A:$L,9,FALSE),"")</f>
        <v/>
      </c>
      <c r="P82">
        <f>IFERROR(VLOOKUP($D82,ウルトラ一覧!$A:$L,10,FALSE),"")</f>
        <v/>
      </c>
    </row>
    <row r="83">
      <c r="D83" s="4" t="n"/>
      <c r="K83">
        <f>IFERROR(VLOOKUP($D83,ウルトラ一覧!$A:$L,2,FALSE),"")</f>
        <v/>
      </c>
      <c r="L83">
        <f>IFERROR(VLOOKUP($D83,ウルトラ一覧!$A:$L,3,FALSE),"")</f>
        <v/>
      </c>
      <c r="M83">
        <f>IFERROR(VLOOKUP($D83,ウルトラ一覧!$A:$L,4,FALSE),"")</f>
        <v/>
      </c>
      <c r="N83">
        <f>IFERROR(VLOOKUP($D83,ウルトラ一覧!$A:$L,8,FALSE),"")</f>
        <v/>
      </c>
      <c r="O83">
        <f>IFERROR(VLOOKUP($D83,ウルトラ一覧!$A:$L,9,FALSE),"")</f>
        <v/>
      </c>
      <c r="P83">
        <f>IFERROR(VLOOKUP($D83,ウルトラ一覧!$A:$L,10,FALSE),"")</f>
        <v/>
      </c>
    </row>
    <row r="84">
      <c r="D84" s="4" t="n"/>
      <c r="K84">
        <f>IFERROR(VLOOKUP($D84,ウルトラ一覧!$A:$L,2,FALSE),"")</f>
        <v/>
      </c>
      <c r="L84">
        <f>IFERROR(VLOOKUP($D84,ウルトラ一覧!$A:$L,3,FALSE),"")</f>
        <v/>
      </c>
      <c r="M84">
        <f>IFERROR(VLOOKUP($D84,ウルトラ一覧!$A:$L,4,FALSE),"")</f>
        <v/>
      </c>
      <c r="N84">
        <f>IFERROR(VLOOKUP($D84,ウルトラ一覧!$A:$L,8,FALSE),"")</f>
        <v/>
      </c>
      <c r="O84">
        <f>IFERROR(VLOOKUP($D84,ウルトラ一覧!$A:$L,9,FALSE),"")</f>
        <v/>
      </c>
      <c r="P84">
        <f>IFERROR(VLOOKUP($D84,ウルトラ一覧!$A:$L,10,FALSE),"")</f>
        <v/>
      </c>
    </row>
    <row r="85">
      <c r="D85" s="4" t="n"/>
      <c r="K85">
        <f>IFERROR(VLOOKUP($D85,ウルトラ一覧!$A:$L,2,FALSE),"")</f>
        <v/>
      </c>
      <c r="L85">
        <f>IFERROR(VLOOKUP($D85,ウルトラ一覧!$A:$L,3,FALSE),"")</f>
        <v/>
      </c>
      <c r="M85">
        <f>IFERROR(VLOOKUP($D85,ウルトラ一覧!$A:$L,4,FALSE),"")</f>
        <v/>
      </c>
      <c r="N85">
        <f>IFERROR(VLOOKUP($D85,ウルトラ一覧!$A:$L,8,FALSE),"")</f>
        <v/>
      </c>
      <c r="O85">
        <f>IFERROR(VLOOKUP($D85,ウルトラ一覧!$A:$L,9,FALSE),"")</f>
        <v/>
      </c>
      <c r="P85">
        <f>IFERROR(VLOOKUP($D85,ウルトラ一覧!$A:$L,10,FALSE),"")</f>
        <v/>
      </c>
    </row>
    <row r="86">
      <c r="D86" s="4" t="n"/>
      <c r="K86">
        <f>IFERROR(VLOOKUP($D86,ウルトラ一覧!$A:$L,2,FALSE),"")</f>
        <v/>
      </c>
      <c r="L86">
        <f>IFERROR(VLOOKUP($D86,ウルトラ一覧!$A:$L,3,FALSE),"")</f>
        <v/>
      </c>
      <c r="M86">
        <f>IFERROR(VLOOKUP($D86,ウルトラ一覧!$A:$L,4,FALSE),"")</f>
        <v/>
      </c>
      <c r="N86">
        <f>IFERROR(VLOOKUP($D86,ウルトラ一覧!$A:$L,8,FALSE),"")</f>
        <v/>
      </c>
      <c r="O86">
        <f>IFERROR(VLOOKUP($D86,ウルトラ一覧!$A:$L,9,FALSE),"")</f>
        <v/>
      </c>
      <c r="P86">
        <f>IFERROR(VLOOKUP($D86,ウルトラ一覧!$A:$L,10,FALSE),"")</f>
        <v/>
      </c>
    </row>
    <row r="87">
      <c r="D87" s="4" t="n"/>
      <c r="K87">
        <f>IFERROR(VLOOKUP($D87,ウルトラ一覧!$A:$L,2,FALSE),"")</f>
        <v/>
      </c>
      <c r="L87">
        <f>IFERROR(VLOOKUP($D87,ウルトラ一覧!$A:$L,3,FALSE),"")</f>
        <v/>
      </c>
      <c r="M87">
        <f>IFERROR(VLOOKUP($D87,ウルトラ一覧!$A:$L,4,FALSE),"")</f>
        <v/>
      </c>
      <c r="N87">
        <f>IFERROR(VLOOKUP($D87,ウルトラ一覧!$A:$L,8,FALSE),"")</f>
        <v/>
      </c>
      <c r="O87">
        <f>IFERROR(VLOOKUP($D87,ウルトラ一覧!$A:$L,9,FALSE),"")</f>
        <v/>
      </c>
      <c r="P87">
        <f>IFERROR(VLOOKUP($D87,ウルトラ一覧!$A:$L,10,FALSE),"")</f>
        <v/>
      </c>
    </row>
    <row r="88">
      <c r="D88" s="4" t="n"/>
      <c r="K88">
        <f>IFERROR(VLOOKUP($D88,ウルトラ一覧!$A:$L,2,FALSE),"")</f>
        <v/>
      </c>
      <c r="L88">
        <f>IFERROR(VLOOKUP($D88,ウルトラ一覧!$A:$L,3,FALSE),"")</f>
        <v/>
      </c>
      <c r="M88">
        <f>IFERROR(VLOOKUP($D88,ウルトラ一覧!$A:$L,4,FALSE),"")</f>
        <v/>
      </c>
      <c r="N88">
        <f>IFERROR(VLOOKUP($D88,ウルトラ一覧!$A:$L,8,FALSE),"")</f>
        <v/>
      </c>
      <c r="O88">
        <f>IFERROR(VLOOKUP($D88,ウルトラ一覧!$A:$L,9,FALSE),"")</f>
        <v/>
      </c>
      <c r="P88">
        <f>IFERROR(VLOOKUP($D88,ウルトラ一覧!$A:$L,10,FALSE),"")</f>
        <v/>
      </c>
    </row>
    <row r="89">
      <c r="D89" s="4" t="n"/>
      <c r="K89">
        <f>IFERROR(VLOOKUP($D89,ウルトラ一覧!$A:$L,2,FALSE),"")</f>
        <v/>
      </c>
      <c r="L89">
        <f>IFERROR(VLOOKUP($D89,ウルトラ一覧!$A:$L,3,FALSE),"")</f>
        <v/>
      </c>
      <c r="M89">
        <f>IFERROR(VLOOKUP($D89,ウルトラ一覧!$A:$L,4,FALSE),"")</f>
        <v/>
      </c>
      <c r="N89">
        <f>IFERROR(VLOOKUP($D89,ウルトラ一覧!$A:$L,8,FALSE),"")</f>
        <v/>
      </c>
      <c r="O89">
        <f>IFERROR(VLOOKUP($D89,ウルトラ一覧!$A:$L,9,FALSE),"")</f>
        <v/>
      </c>
      <c r="P89">
        <f>IFERROR(VLOOKUP($D89,ウルトラ一覧!$A:$L,10,FALSE),"")</f>
        <v/>
      </c>
    </row>
    <row r="90">
      <c r="D90" s="4" t="n"/>
      <c r="K90">
        <f>IFERROR(VLOOKUP($D90,ウルトラ一覧!$A:$L,2,FALSE),"")</f>
        <v/>
      </c>
      <c r="L90">
        <f>IFERROR(VLOOKUP($D90,ウルトラ一覧!$A:$L,3,FALSE),"")</f>
        <v/>
      </c>
      <c r="M90">
        <f>IFERROR(VLOOKUP($D90,ウルトラ一覧!$A:$L,4,FALSE),"")</f>
        <v/>
      </c>
      <c r="N90">
        <f>IFERROR(VLOOKUP($D90,ウルトラ一覧!$A:$L,8,FALSE),"")</f>
        <v/>
      </c>
      <c r="O90">
        <f>IFERROR(VLOOKUP($D90,ウルトラ一覧!$A:$L,9,FALSE),"")</f>
        <v/>
      </c>
      <c r="P90">
        <f>IFERROR(VLOOKUP($D90,ウルトラ一覧!$A:$L,10,FALSE),"")</f>
        <v/>
      </c>
    </row>
    <row r="91">
      <c r="D91" s="4" t="n"/>
      <c r="K91">
        <f>IFERROR(VLOOKUP($D91,ウルトラ一覧!$A:$L,2,FALSE),"")</f>
        <v/>
      </c>
      <c r="L91">
        <f>IFERROR(VLOOKUP($D91,ウルトラ一覧!$A:$L,3,FALSE),"")</f>
        <v/>
      </c>
      <c r="M91">
        <f>IFERROR(VLOOKUP($D91,ウルトラ一覧!$A:$L,4,FALSE),"")</f>
        <v/>
      </c>
      <c r="N91">
        <f>IFERROR(VLOOKUP($D91,ウルトラ一覧!$A:$L,8,FALSE),"")</f>
        <v/>
      </c>
      <c r="O91">
        <f>IFERROR(VLOOKUP($D91,ウルトラ一覧!$A:$L,9,FALSE),"")</f>
        <v/>
      </c>
      <c r="P91">
        <f>IFERROR(VLOOKUP($D91,ウルトラ一覧!$A:$L,10,FALSE),"")</f>
        <v/>
      </c>
    </row>
    <row r="92">
      <c r="D92" s="4" t="n"/>
      <c r="K92">
        <f>IFERROR(VLOOKUP($D92,ウルトラ一覧!$A:$L,2,FALSE),"")</f>
        <v/>
      </c>
      <c r="L92">
        <f>IFERROR(VLOOKUP($D92,ウルトラ一覧!$A:$L,3,FALSE),"")</f>
        <v/>
      </c>
      <c r="M92">
        <f>IFERROR(VLOOKUP($D92,ウルトラ一覧!$A:$L,4,FALSE),"")</f>
        <v/>
      </c>
      <c r="N92">
        <f>IFERROR(VLOOKUP($D92,ウルトラ一覧!$A:$L,8,FALSE),"")</f>
        <v/>
      </c>
      <c r="O92">
        <f>IFERROR(VLOOKUP($D92,ウルトラ一覧!$A:$L,9,FALSE),"")</f>
        <v/>
      </c>
      <c r="P92">
        <f>IFERROR(VLOOKUP($D92,ウルトラ一覧!$A:$L,10,FALSE),"")</f>
        <v/>
      </c>
    </row>
    <row r="93">
      <c r="D93" s="4" t="n"/>
      <c r="K93">
        <f>IFERROR(VLOOKUP($D93,ウルトラ一覧!$A:$L,2,FALSE),"")</f>
        <v/>
      </c>
      <c r="L93">
        <f>IFERROR(VLOOKUP($D93,ウルトラ一覧!$A:$L,3,FALSE),"")</f>
        <v/>
      </c>
      <c r="M93">
        <f>IFERROR(VLOOKUP($D93,ウルトラ一覧!$A:$L,4,FALSE),"")</f>
        <v/>
      </c>
      <c r="N93">
        <f>IFERROR(VLOOKUP($D93,ウルトラ一覧!$A:$L,8,FALSE),"")</f>
        <v/>
      </c>
      <c r="O93">
        <f>IFERROR(VLOOKUP($D93,ウルトラ一覧!$A:$L,9,FALSE),"")</f>
        <v/>
      </c>
      <c r="P93">
        <f>IFERROR(VLOOKUP($D93,ウルトラ一覧!$A:$L,10,FALSE),"")</f>
        <v/>
      </c>
    </row>
    <row r="94">
      <c r="D94" s="4" t="n"/>
      <c r="K94">
        <f>IFERROR(VLOOKUP($D94,ウルトラ一覧!$A:$L,2,FALSE),"")</f>
        <v/>
      </c>
      <c r="L94">
        <f>IFERROR(VLOOKUP($D94,ウルトラ一覧!$A:$L,3,FALSE),"")</f>
        <v/>
      </c>
      <c r="M94">
        <f>IFERROR(VLOOKUP($D94,ウルトラ一覧!$A:$L,4,FALSE),"")</f>
        <v/>
      </c>
      <c r="N94">
        <f>IFERROR(VLOOKUP($D94,ウルトラ一覧!$A:$L,8,FALSE),"")</f>
        <v/>
      </c>
      <c r="O94">
        <f>IFERROR(VLOOKUP($D94,ウルトラ一覧!$A:$L,9,FALSE),"")</f>
        <v/>
      </c>
      <c r="P94">
        <f>IFERROR(VLOOKUP($D94,ウルトラ一覧!$A:$L,10,FALSE),"")</f>
        <v/>
      </c>
    </row>
    <row r="95">
      <c r="D95" s="4" t="n"/>
      <c r="K95">
        <f>IFERROR(VLOOKUP($D95,ウルトラ一覧!$A:$L,2,FALSE),"")</f>
        <v/>
      </c>
      <c r="L95">
        <f>IFERROR(VLOOKUP($D95,ウルトラ一覧!$A:$L,3,FALSE),"")</f>
        <v/>
      </c>
      <c r="M95">
        <f>IFERROR(VLOOKUP($D95,ウルトラ一覧!$A:$L,4,FALSE),"")</f>
        <v/>
      </c>
      <c r="N95">
        <f>IFERROR(VLOOKUP($D95,ウルトラ一覧!$A:$L,8,FALSE),"")</f>
        <v/>
      </c>
      <c r="O95">
        <f>IFERROR(VLOOKUP($D95,ウルトラ一覧!$A:$L,9,FALSE),"")</f>
        <v/>
      </c>
      <c r="P95">
        <f>IFERROR(VLOOKUP($D95,ウルトラ一覧!$A:$L,10,FALSE),"")</f>
        <v/>
      </c>
    </row>
    <row r="96">
      <c r="D96" s="4" t="n"/>
      <c r="K96">
        <f>IFERROR(VLOOKUP($D96,ウルトラ一覧!$A:$L,2,FALSE),"")</f>
        <v/>
      </c>
      <c r="L96">
        <f>IFERROR(VLOOKUP($D96,ウルトラ一覧!$A:$L,3,FALSE),"")</f>
        <v/>
      </c>
      <c r="M96">
        <f>IFERROR(VLOOKUP($D96,ウルトラ一覧!$A:$L,4,FALSE),"")</f>
        <v/>
      </c>
      <c r="N96">
        <f>IFERROR(VLOOKUP($D96,ウルトラ一覧!$A:$L,8,FALSE),"")</f>
        <v/>
      </c>
      <c r="O96">
        <f>IFERROR(VLOOKUP($D96,ウルトラ一覧!$A:$L,9,FALSE),"")</f>
        <v/>
      </c>
      <c r="P96">
        <f>IFERROR(VLOOKUP($D96,ウルトラ一覧!$A:$L,10,FALSE),"")</f>
        <v/>
      </c>
    </row>
    <row r="97">
      <c r="D97" s="4" t="n"/>
      <c r="K97">
        <f>IFERROR(VLOOKUP($D97,ウルトラ一覧!$A:$L,2,FALSE),"")</f>
        <v/>
      </c>
      <c r="L97">
        <f>IFERROR(VLOOKUP($D97,ウルトラ一覧!$A:$L,3,FALSE),"")</f>
        <v/>
      </c>
      <c r="M97">
        <f>IFERROR(VLOOKUP($D97,ウルトラ一覧!$A:$L,4,FALSE),"")</f>
        <v/>
      </c>
      <c r="N97">
        <f>IFERROR(VLOOKUP($D97,ウルトラ一覧!$A:$L,8,FALSE),"")</f>
        <v/>
      </c>
      <c r="O97">
        <f>IFERROR(VLOOKUP($D97,ウルトラ一覧!$A:$L,9,FALSE),"")</f>
        <v/>
      </c>
      <c r="P97">
        <f>IFERROR(VLOOKUP($D97,ウルトラ一覧!$A:$L,10,FALSE),"")</f>
        <v/>
      </c>
    </row>
    <row r="98">
      <c r="D98" s="4" t="n"/>
      <c r="K98">
        <f>IFERROR(VLOOKUP($D98,ウルトラ一覧!$A:$L,2,FALSE),"")</f>
        <v/>
      </c>
      <c r="L98">
        <f>IFERROR(VLOOKUP($D98,ウルトラ一覧!$A:$L,3,FALSE),"")</f>
        <v/>
      </c>
      <c r="M98">
        <f>IFERROR(VLOOKUP($D98,ウルトラ一覧!$A:$L,4,FALSE),"")</f>
        <v/>
      </c>
      <c r="N98">
        <f>IFERROR(VLOOKUP($D98,ウルトラ一覧!$A:$L,8,FALSE),"")</f>
        <v/>
      </c>
      <c r="O98">
        <f>IFERROR(VLOOKUP($D98,ウルトラ一覧!$A:$L,9,FALSE),"")</f>
        <v/>
      </c>
      <c r="P98">
        <f>IFERROR(VLOOKUP($D98,ウルトラ一覧!$A:$L,10,FALSE),"")</f>
        <v/>
      </c>
    </row>
    <row r="99">
      <c r="D99" s="4" t="n"/>
      <c r="K99">
        <f>IFERROR(VLOOKUP($D99,ウルトラ一覧!$A:$L,2,FALSE),"")</f>
        <v/>
      </c>
      <c r="L99">
        <f>IFERROR(VLOOKUP($D99,ウルトラ一覧!$A:$L,3,FALSE),"")</f>
        <v/>
      </c>
      <c r="M99">
        <f>IFERROR(VLOOKUP($D99,ウルトラ一覧!$A:$L,4,FALSE),"")</f>
        <v/>
      </c>
      <c r="N99">
        <f>IFERROR(VLOOKUP($D99,ウルトラ一覧!$A:$L,8,FALSE),"")</f>
        <v/>
      </c>
      <c r="O99">
        <f>IFERROR(VLOOKUP($D99,ウルトラ一覧!$A:$L,9,FALSE),"")</f>
        <v/>
      </c>
      <c r="P99">
        <f>IFERROR(VLOOKUP($D99,ウルトラ一覧!$A:$L,10,FALSE),"")</f>
        <v/>
      </c>
    </row>
    <row r="100">
      <c r="D100" s="4" t="n"/>
      <c r="K100">
        <f>IFERROR(VLOOKUP($D100,ウルトラ一覧!$A:$L,2,FALSE),"")</f>
        <v/>
      </c>
      <c r="L100">
        <f>IFERROR(VLOOKUP($D100,ウルトラ一覧!$A:$L,3,FALSE),"")</f>
        <v/>
      </c>
      <c r="M100">
        <f>IFERROR(VLOOKUP($D100,ウルトラ一覧!$A:$L,4,FALSE),"")</f>
        <v/>
      </c>
      <c r="N100">
        <f>IFERROR(VLOOKUP($D100,ウルトラ一覧!$A:$L,8,FALSE),"")</f>
        <v/>
      </c>
      <c r="O100">
        <f>IFERROR(VLOOKUP($D100,ウルトラ一覧!$A:$L,9,FALSE),"")</f>
        <v/>
      </c>
      <c r="P100">
        <f>IFERROR(VLOOKUP($D100,ウルトラ一覧!$A:$L,10,FALSE),"")</f>
        <v/>
      </c>
    </row>
    <row r="101">
      <c r="D101" s="4" t="n"/>
      <c r="K101">
        <f>IFERROR(VLOOKUP($D101,ウルトラ一覧!$A:$L,2,FALSE),"")</f>
        <v/>
      </c>
      <c r="L101">
        <f>IFERROR(VLOOKUP($D101,ウルトラ一覧!$A:$L,3,FALSE),"")</f>
        <v/>
      </c>
      <c r="M101">
        <f>IFERROR(VLOOKUP($D101,ウルトラ一覧!$A:$L,4,FALSE),"")</f>
        <v/>
      </c>
      <c r="N101">
        <f>IFERROR(VLOOKUP($D101,ウルトラ一覧!$A:$L,8,FALSE),"")</f>
        <v/>
      </c>
      <c r="O101">
        <f>IFERROR(VLOOKUP($D101,ウルトラ一覧!$A:$L,9,FALSE),"")</f>
        <v/>
      </c>
      <c r="P101">
        <f>IFERROR(VLOOKUP($D101,ウルトラ一覧!$A:$L,10,FALSE),"")</f>
        <v/>
      </c>
    </row>
    <row r="102">
      <c r="D102" s="4" t="n"/>
      <c r="K102">
        <f>IFERROR(VLOOKUP($D102,ウルトラ一覧!$A:$L,2,FALSE),"")</f>
        <v/>
      </c>
      <c r="L102">
        <f>IFERROR(VLOOKUP($D102,ウルトラ一覧!$A:$L,3,FALSE),"")</f>
        <v/>
      </c>
      <c r="M102">
        <f>IFERROR(VLOOKUP($D102,ウルトラ一覧!$A:$L,4,FALSE),"")</f>
        <v/>
      </c>
      <c r="N102">
        <f>IFERROR(VLOOKUP($D102,ウルトラ一覧!$A:$L,8,FALSE),"")</f>
        <v/>
      </c>
      <c r="O102">
        <f>IFERROR(VLOOKUP($D102,ウルトラ一覧!$A:$L,9,FALSE),"")</f>
        <v/>
      </c>
      <c r="P102">
        <f>IFERROR(VLOOKUP($D102,ウルトラ一覧!$A:$L,10,FALSE),"")</f>
        <v/>
      </c>
    </row>
    <row r="103">
      <c r="D103" s="4" t="n"/>
      <c r="K103">
        <f>IFERROR(VLOOKUP($D103,ウルトラ一覧!$A:$L,2,FALSE),"")</f>
        <v/>
      </c>
      <c r="L103">
        <f>IFERROR(VLOOKUP($D103,ウルトラ一覧!$A:$L,3,FALSE),"")</f>
        <v/>
      </c>
      <c r="M103">
        <f>IFERROR(VLOOKUP($D103,ウルトラ一覧!$A:$L,4,FALSE),"")</f>
        <v/>
      </c>
      <c r="N103">
        <f>IFERROR(VLOOKUP($D103,ウルトラ一覧!$A:$L,8,FALSE),"")</f>
        <v/>
      </c>
      <c r="O103">
        <f>IFERROR(VLOOKUP($D103,ウルトラ一覧!$A:$L,9,FALSE),"")</f>
        <v/>
      </c>
      <c r="P103">
        <f>IFERROR(VLOOKUP($D103,ウルトラ一覧!$A:$L,10,FALSE),"")</f>
        <v/>
      </c>
    </row>
    <row r="104">
      <c r="D104" s="4" t="n"/>
      <c r="K104">
        <f>IFERROR(VLOOKUP($D104,ウルトラ一覧!$A:$L,2,FALSE),"")</f>
        <v/>
      </c>
      <c r="L104">
        <f>IFERROR(VLOOKUP($D104,ウルトラ一覧!$A:$L,3,FALSE),"")</f>
        <v/>
      </c>
      <c r="M104">
        <f>IFERROR(VLOOKUP($D104,ウルトラ一覧!$A:$L,4,FALSE),"")</f>
        <v/>
      </c>
      <c r="N104">
        <f>IFERROR(VLOOKUP($D104,ウルトラ一覧!$A:$L,8,FALSE),"")</f>
        <v/>
      </c>
      <c r="O104">
        <f>IFERROR(VLOOKUP($D104,ウルトラ一覧!$A:$L,9,FALSE),"")</f>
        <v/>
      </c>
      <c r="P104">
        <f>IFERROR(VLOOKUP($D104,ウルトラ一覧!$A:$L,10,FALSE),"")</f>
        <v/>
      </c>
    </row>
    <row r="105">
      <c r="D105" s="4" t="n"/>
      <c r="K105">
        <f>IFERROR(VLOOKUP($D105,ウルトラ一覧!$A:$L,2,FALSE),"")</f>
        <v/>
      </c>
      <c r="L105">
        <f>IFERROR(VLOOKUP($D105,ウルトラ一覧!$A:$L,3,FALSE),"")</f>
        <v/>
      </c>
      <c r="M105">
        <f>IFERROR(VLOOKUP($D105,ウルトラ一覧!$A:$L,4,FALSE),"")</f>
        <v/>
      </c>
      <c r="N105">
        <f>IFERROR(VLOOKUP($D105,ウルトラ一覧!$A:$L,8,FALSE),"")</f>
        <v/>
      </c>
      <c r="O105">
        <f>IFERROR(VLOOKUP($D105,ウルトラ一覧!$A:$L,9,FALSE),"")</f>
        <v/>
      </c>
      <c r="P105">
        <f>IFERROR(VLOOKUP($D105,ウルトラ一覧!$A:$L,10,FALSE),"")</f>
        <v/>
      </c>
    </row>
    <row r="106">
      <c r="D106" s="4" t="n"/>
      <c r="K106">
        <f>IFERROR(VLOOKUP($D106,ウルトラ一覧!$A:$L,2,FALSE),"")</f>
        <v/>
      </c>
      <c r="L106">
        <f>IFERROR(VLOOKUP($D106,ウルトラ一覧!$A:$L,3,FALSE),"")</f>
        <v/>
      </c>
      <c r="M106">
        <f>IFERROR(VLOOKUP($D106,ウルトラ一覧!$A:$L,4,FALSE),"")</f>
        <v/>
      </c>
      <c r="N106">
        <f>IFERROR(VLOOKUP($D106,ウルトラ一覧!$A:$L,8,FALSE),"")</f>
        <v/>
      </c>
      <c r="O106">
        <f>IFERROR(VLOOKUP($D106,ウルトラ一覧!$A:$L,9,FALSE),"")</f>
        <v/>
      </c>
      <c r="P106">
        <f>IFERROR(VLOOKUP($D106,ウルトラ一覧!$A:$L,10,FALSE),"")</f>
        <v/>
      </c>
    </row>
    <row r="107">
      <c r="D107" s="4" t="n"/>
      <c r="K107">
        <f>IFERROR(VLOOKUP($D107,ウルトラ一覧!$A:$L,2,FALSE),"")</f>
        <v/>
      </c>
      <c r="L107">
        <f>IFERROR(VLOOKUP($D107,ウルトラ一覧!$A:$L,3,FALSE),"")</f>
        <v/>
      </c>
      <c r="M107">
        <f>IFERROR(VLOOKUP($D107,ウルトラ一覧!$A:$L,4,FALSE),"")</f>
        <v/>
      </c>
      <c r="N107">
        <f>IFERROR(VLOOKUP($D107,ウルトラ一覧!$A:$L,8,FALSE),"")</f>
        <v/>
      </c>
      <c r="O107">
        <f>IFERROR(VLOOKUP($D107,ウルトラ一覧!$A:$L,9,FALSE),"")</f>
        <v/>
      </c>
      <c r="P107">
        <f>IFERROR(VLOOKUP($D107,ウルトラ一覧!$A:$L,10,FALSE),"")</f>
        <v/>
      </c>
    </row>
    <row r="108">
      <c r="D108" s="4" t="n"/>
      <c r="K108">
        <f>IFERROR(VLOOKUP($D108,ウルトラ一覧!$A:$L,2,FALSE),"")</f>
        <v/>
      </c>
      <c r="L108">
        <f>IFERROR(VLOOKUP($D108,ウルトラ一覧!$A:$L,3,FALSE),"")</f>
        <v/>
      </c>
      <c r="M108">
        <f>IFERROR(VLOOKUP($D108,ウルトラ一覧!$A:$L,4,FALSE),"")</f>
        <v/>
      </c>
      <c r="N108">
        <f>IFERROR(VLOOKUP($D108,ウルトラ一覧!$A:$L,8,FALSE),"")</f>
        <v/>
      </c>
      <c r="O108">
        <f>IFERROR(VLOOKUP($D108,ウルトラ一覧!$A:$L,9,FALSE),"")</f>
        <v/>
      </c>
      <c r="P108">
        <f>IFERROR(VLOOKUP($D108,ウルトラ一覧!$A:$L,10,FALSE),"")</f>
        <v/>
      </c>
    </row>
    <row r="109">
      <c r="D109" s="4" t="n"/>
      <c r="K109">
        <f>IFERROR(VLOOKUP($D109,ウルトラ一覧!$A:$L,2,FALSE),"")</f>
        <v/>
      </c>
      <c r="L109">
        <f>IFERROR(VLOOKUP($D109,ウルトラ一覧!$A:$L,3,FALSE),"")</f>
        <v/>
      </c>
      <c r="M109">
        <f>IFERROR(VLOOKUP($D109,ウルトラ一覧!$A:$L,4,FALSE),"")</f>
        <v/>
      </c>
      <c r="N109">
        <f>IFERROR(VLOOKUP($D109,ウルトラ一覧!$A:$L,8,FALSE),"")</f>
        <v/>
      </c>
      <c r="O109">
        <f>IFERROR(VLOOKUP($D109,ウルトラ一覧!$A:$L,9,FALSE),"")</f>
        <v/>
      </c>
      <c r="P109">
        <f>IFERROR(VLOOKUP($D109,ウルトラ一覧!$A:$L,10,FALSE),"")</f>
        <v/>
      </c>
    </row>
    <row r="110">
      <c r="D110" s="4" t="n"/>
      <c r="K110">
        <f>IFERROR(VLOOKUP($D110,ウルトラ一覧!$A:$L,2,FALSE),"")</f>
        <v/>
      </c>
      <c r="L110">
        <f>IFERROR(VLOOKUP($D110,ウルトラ一覧!$A:$L,3,FALSE),"")</f>
        <v/>
      </c>
      <c r="M110">
        <f>IFERROR(VLOOKUP($D110,ウルトラ一覧!$A:$L,4,FALSE),"")</f>
        <v/>
      </c>
      <c r="N110">
        <f>IFERROR(VLOOKUP($D110,ウルトラ一覧!$A:$L,8,FALSE),"")</f>
        <v/>
      </c>
      <c r="O110">
        <f>IFERROR(VLOOKUP($D110,ウルトラ一覧!$A:$L,9,FALSE),"")</f>
        <v/>
      </c>
      <c r="P110">
        <f>IFERROR(VLOOKUP($D110,ウルトラ一覧!$A:$L,10,FALSE),"")</f>
        <v/>
      </c>
    </row>
    <row r="111">
      <c r="D111" s="4" t="n"/>
      <c r="K111">
        <f>IFERROR(VLOOKUP($D111,ウルトラ一覧!$A:$L,2,FALSE),"")</f>
        <v/>
      </c>
      <c r="L111">
        <f>IFERROR(VLOOKUP($D111,ウルトラ一覧!$A:$L,3,FALSE),"")</f>
        <v/>
      </c>
      <c r="M111">
        <f>IFERROR(VLOOKUP($D111,ウルトラ一覧!$A:$L,4,FALSE),"")</f>
        <v/>
      </c>
      <c r="N111">
        <f>IFERROR(VLOOKUP($D111,ウルトラ一覧!$A:$L,8,FALSE),"")</f>
        <v/>
      </c>
      <c r="O111">
        <f>IFERROR(VLOOKUP($D111,ウルトラ一覧!$A:$L,9,FALSE),"")</f>
        <v/>
      </c>
      <c r="P111">
        <f>IFERROR(VLOOKUP($D111,ウルトラ一覧!$A:$L,10,FALSE),"")</f>
        <v/>
      </c>
    </row>
    <row r="112">
      <c r="D112" s="4" t="n"/>
      <c r="K112">
        <f>IFERROR(VLOOKUP($D112,ウルトラ一覧!$A:$L,2,FALSE),"")</f>
        <v/>
      </c>
      <c r="L112">
        <f>IFERROR(VLOOKUP($D112,ウルトラ一覧!$A:$L,3,FALSE),"")</f>
        <v/>
      </c>
      <c r="M112">
        <f>IFERROR(VLOOKUP($D112,ウルトラ一覧!$A:$L,4,FALSE),"")</f>
        <v/>
      </c>
      <c r="N112">
        <f>IFERROR(VLOOKUP($D112,ウルトラ一覧!$A:$L,8,FALSE),"")</f>
        <v/>
      </c>
      <c r="O112">
        <f>IFERROR(VLOOKUP($D112,ウルトラ一覧!$A:$L,9,FALSE),"")</f>
        <v/>
      </c>
      <c r="P112">
        <f>IFERROR(VLOOKUP($D112,ウルトラ一覧!$A:$L,10,FALSE),"")</f>
        <v/>
      </c>
    </row>
    <row r="113">
      <c r="D113" s="4" t="n"/>
      <c r="K113">
        <f>IFERROR(VLOOKUP($D113,ウルトラ一覧!$A:$L,2,FALSE),"")</f>
        <v/>
      </c>
      <c r="L113">
        <f>IFERROR(VLOOKUP($D113,ウルトラ一覧!$A:$L,3,FALSE),"")</f>
        <v/>
      </c>
      <c r="M113">
        <f>IFERROR(VLOOKUP($D113,ウルトラ一覧!$A:$L,4,FALSE),"")</f>
        <v/>
      </c>
      <c r="N113">
        <f>IFERROR(VLOOKUP($D113,ウルトラ一覧!$A:$L,8,FALSE),"")</f>
        <v/>
      </c>
      <c r="O113">
        <f>IFERROR(VLOOKUP($D113,ウルトラ一覧!$A:$L,9,FALSE),"")</f>
        <v/>
      </c>
      <c r="P113">
        <f>IFERROR(VLOOKUP($D113,ウルトラ一覧!$A:$L,10,FALSE),"")</f>
        <v/>
      </c>
    </row>
    <row r="114">
      <c r="D114" s="4" t="n"/>
      <c r="K114">
        <f>IFERROR(VLOOKUP($D114,ウルトラ一覧!$A:$L,2,FALSE),"")</f>
        <v/>
      </c>
      <c r="L114">
        <f>IFERROR(VLOOKUP($D114,ウルトラ一覧!$A:$L,3,FALSE),"")</f>
        <v/>
      </c>
      <c r="M114">
        <f>IFERROR(VLOOKUP($D114,ウルトラ一覧!$A:$L,4,FALSE),"")</f>
        <v/>
      </c>
      <c r="N114">
        <f>IFERROR(VLOOKUP($D114,ウルトラ一覧!$A:$L,8,FALSE),"")</f>
        <v/>
      </c>
      <c r="O114">
        <f>IFERROR(VLOOKUP($D114,ウルトラ一覧!$A:$L,9,FALSE),"")</f>
        <v/>
      </c>
      <c r="P114">
        <f>IFERROR(VLOOKUP($D114,ウルトラ一覧!$A:$L,10,FALSE),"")</f>
        <v/>
      </c>
    </row>
    <row r="115">
      <c r="D115" s="4" t="n"/>
      <c r="K115">
        <f>IFERROR(VLOOKUP($D115,ウルトラ一覧!$A:$L,2,FALSE),"")</f>
        <v/>
      </c>
      <c r="L115">
        <f>IFERROR(VLOOKUP($D115,ウルトラ一覧!$A:$L,3,FALSE),"")</f>
        <v/>
      </c>
      <c r="M115">
        <f>IFERROR(VLOOKUP($D115,ウルトラ一覧!$A:$L,4,FALSE),"")</f>
        <v/>
      </c>
      <c r="N115">
        <f>IFERROR(VLOOKUP($D115,ウルトラ一覧!$A:$L,8,FALSE),"")</f>
        <v/>
      </c>
      <c r="O115">
        <f>IFERROR(VLOOKUP($D115,ウルトラ一覧!$A:$L,9,FALSE),"")</f>
        <v/>
      </c>
      <c r="P115">
        <f>IFERROR(VLOOKUP($D115,ウルトラ一覧!$A:$L,10,FALSE),"")</f>
        <v/>
      </c>
    </row>
    <row r="116">
      <c r="D116" s="4" t="n"/>
      <c r="K116">
        <f>IFERROR(VLOOKUP($D116,ウルトラ一覧!$A:$L,2,FALSE),"")</f>
        <v/>
      </c>
      <c r="L116">
        <f>IFERROR(VLOOKUP($D116,ウルトラ一覧!$A:$L,3,FALSE),"")</f>
        <v/>
      </c>
      <c r="M116">
        <f>IFERROR(VLOOKUP($D116,ウルトラ一覧!$A:$L,4,FALSE),"")</f>
        <v/>
      </c>
      <c r="N116">
        <f>IFERROR(VLOOKUP($D116,ウルトラ一覧!$A:$L,8,FALSE),"")</f>
        <v/>
      </c>
      <c r="O116">
        <f>IFERROR(VLOOKUP($D116,ウルトラ一覧!$A:$L,9,FALSE),"")</f>
        <v/>
      </c>
      <c r="P116">
        <f>IFERROR(VLOOKUP($D116,ウルトラ一覧!$A:$L,10,FALSE),"")</f>
        <v/>
      </c>
    </row>
    <row r="117">
      <c r="D117" s="4" t="n"/>
      <c r="K117">
        <f>IFERROR(VLOOKUP($D117,ウルトラ一覧!$A:$L,2,FALSE),"")</f>
        <v/>
      </c>
      <c r="L117">
        <f>IFERROR(VLOOKUP($D117,ウルトラ一覧!$A:$L,3,FALSE),"")</f>
        <v/>
      </c>
      <c r="M117">
        <f>IFERROR(VLOOKUP($D117,ウルトラ一覧!$A:$L,4,FALSE),"")</f>
        <v/>
      </c>
      <c r="N117">
        <f>IFERROR(VLOOKUP($D117,ウルトラ一覧!$A:$L,8,FALSE),"")</f>
        <v/>
      </c>
      <c r="O117">
        <f>IFERROR(VLOOKUP($D117,ウルトラ一覧!$A:$L,9,FALSE),"")</f>
        <v/>
      </c>
      <c r="P117">
        <f>IFERROR(VLOOKUP($D117,ウルトラ一覧!$A:$L,10,FALSE),"")</f>
        <v/>
      </c>
    </row>
    <row r="118">
      <c r="D118" s="4" t="n"/>
      <c r="K118">
        <f>IFERROR(VLOOKUP($D118,ウルトラ一覧!$A:$L,2,FALSE),"")</f>
        <v/>
      </c>
      <c r="L118">
        <f>IFERROR(VLOOKUP($D118,ウルトラ一覧!$A:$L,3,FALSE),"")</f>
        <v/>
      </c>
      <c r="M118">
        <f>IFERROR(VLOOKUP($D118,ウルトラ一覧!$A:$L,4,FALSE),"")</f>
        <v/>
      </c>
      <c r="N118">
        <f>IFERROR(VLOOKUP($D118,ウルトラ一覧!$A:$L,8,FALSE),"")</f>
        <v/>
      </c>
      <c r="O118">
        <f>IFERROR(VLOOKUP($D118,ウルトラ一覧!$A:$L,9,FALSE),"")</f>
        <v/>
      </c>
      <c r="P118">
        <f>IFERROR(VLOOKUP($D118,ウルトラ一覧!$A:$L,10,FALSE),"")</f>
        <v/>
      </c>
    </row>
    <row r="119">
      <c r="D119" s="4" t="n"/>
      <c r="K119">
        <f>IFERROR(VLOOKUP($D119,ウルトラ一覧!$A:$L,2,FALSE),"")</f>
        <v/>
      </c>
      <c r="L119">
        <f>IFERROR(VLOOKUP($D119,ウルトラ一覧!$A:$L,3,FALSE),"")</f>
        <v/>
      </c>
      <c r="M119">
        <f>IFERROR(VLOOKUP($D119,ウルトラ一覧!$A:$L,4,FALSE),"")</f>
        <v/>
      </c>
      <c r="N119">
        <f>IFERROR(VLOOKUP($D119,ウルトラ一覧!$A:$L,8,FALSE),"")</f>
        <v/>
      </c>
      <c r="O119">
        <f>IFERROR(VLOOKUP($D119,ウルトラ一覧!$A:$L,9,FALSE),"")</f>
        <v/>
      </c>
      <c r="P119">
        <f>IFERROR(VLOOKUP($D119,ウルトラ一覧!$A:$L,10,FALSE),"")</f>
        <v/>
      </c>
    </row>
    <row r="120">
      <c r="D120" s="4" t="n"/>
      <c r="K120">
        <f>IFERROR(VLOOKUP($D120,ウルトラ一覧!$A:$L,2,FALSE),"")</f>
        <v/>
      </c>
      <c r="L120">
        <f>IFERROR(VLOOKUP($D120,ウルトラ一覧!$A:$L,3,FALSE),"")</f>
        <v/>
      </c>
      <c r="M120">
        <f>IFERROR(VLOOKUP($D120,ウルトラ一覧!$A:$L,4,FALSE),"")</f>
        <v/>
      </c>
      <c r="N120">
        <f>IFERROR(VLOOKUP($D120,ウルトラ一覧!$A:$L,8,FALSE),"")</f>
        <v/>
      </c>
      <c r="O120">
        <f>IFERROR(VLOOKUP($D120,ウルトラ一覧!$A:$L,9,FALSE),"")</f>
        <v/>
      </c>
      <c r="P120">
        <f>IFERROR(VLOOKUP($D120,ウルトラ一覧!$A:$L,10,FALSE),"")</f>
        <v/>
      </c>
    </row>
    <row r="121">
      <c r="D121" s="4" t="n"/>
      <c r="K121">
        <f>IFERROR(VLOOKUP($D121,ウルトラ一覧!$A:$L,2,FALSE),"")</f>
        <v/>
      </c>
      <c r="L121">
        <f>IFERROR(VLOOKUP($D121,ウルトラ一覧!$A:$L,3,FALSE),"")</f>
        <v/>
      </c>
      <c r="M121">
        <f>IFERROR(VLOOKUP($D121,ウルトラ一覧!$A:$L,4,FALSE),"")</f>
        <v/>
      </c>
      <c r="N121">
        <f>IFERROR(VLOOKUP($D121,ウルトラ一覧!$A:$L,8,FALSE),"")</f>
        <v/>
      </c>
      <c r="O121">
        <f>IFERROR(VLOOKUP($D121,ウルトラ一覧!$A:$L,9,FALSE),"")</f>
        <v/>
      </c>
      <c r="P121">
        <f>IFERROR(VLOOKUP($D121,ウルトラ一覧!$A:$L,10,FALSE),"")</f>
        <v/>
      </c>
    </row>
    <row r="122">
      <c r="D122" s="4" t="n"/>
      <c r="K122">
        <f>IFERROR(VLOOKUP($D122,ウルトラ一覧!$A:$L,2,FALSE),"")</f>
        <v/>
      </c>
      <c r="L122">
        <f>IFERROR(VLOOKUP($D122,ウルトラ一覧!$A:$L,3,FALSE),"")</f>
        <v/>
      </c>
      <c r="M122">
        <f>IFERROR(VLOOKUP($D122,ウルトラ一覧!$A:$L,4,FALSE),"")</f>
        <v/>
      </c>
      <c r="N122">
        <f>IFERROR(VLOOKUP($D122,ウルトラ一覧!$A:$L,8,FALSE),"")</f>
        <v/>
      </c>
      <c r="O122">
        <f>IFERROR(VLOOKUP($D122,ウルトラ一覧!$A:$L,9,FALSE),"")</f>
        <v/>
      </c>
      <c r="P122">
        <f>IFERROR(VLOOKUP($D122,ウルトラ一覧!$A:$L,10,FALSE),"")</f>
        <v/>
      </c>
    </row>
    <row r="123">
      <c r="D123" s="4" t="n"/>
      <c r="K123">
        <f>IFERROR(VLOOKUP($D123,ウルトラ一覧!$A:$L,2,FALSE),"")</f>
        <v/>
      </c>
      <c r="L123">
        <f>IFERROR(VLOOKUP($D123,ウルトラ一覧!$A:$L,3,FALSE),"")</f>
        <v/>
      </c>
      <c r="M123">
        <f>IFERROR(VLOOKUP($D123,ウルトラ一覧!$A:$L,4,FALSE),"")</f>
        <v/>
      </c>
      <c r="N123">
        <f>IFERROR(VLOOKUP($D123,ウルトラ一覧!$A:$L,8,FALSE),"")</f>
        <v/>
      </c>
      <c r="O123">
        <f>IFERROR(VLOOKUP($D123,ウルトラ一覧!$A:$L,9,FALSE),"")</f>
        <v/>
      </c>
      <c r="P123">
        <f>IFERROR(VLOOKUP($D123,ウルトラ一覧!$A:$L,10,FALSE),"")</f>
        <v/>
      </c>
    </row>
    <row r="124">
      <c r="D124" s="4" t="n"/>
      <c r="K124">
        <f>IFERROR(VLOOKUP($D124,ウルトラ一覧!$A:$L,2,FALSE),"")</f>
        <v/>
      </c>
      <c r="L124">
        <f>IFERROR(VLOOKUP($D124,ウルトラ一覧!$A:$L,3,FALSE),"")</f>
        <v/>
      </c>
      <c r="M124">
        <f>IFERROR(VLOOKUP($D124,ウルトラ一覧!$A:$L,4,FALSE),"")</f>
        <v/>
      </c>
      <c r="N124">
        <f>IFERROR(VLOOKUP($D124,ウルトラ一覧!$A:$L,8,FALSE),"")</f>
        <v/>
      </c>
      <c r="O124">
        <f>IFERROR(VLOOKUP($D124,ウルトラ一覧!$A:$L,9,FALSE),"")</f>
        <v/>
      </c>
      <c r="P124">
        <f>IFERROR(VLOOKUP($D124,ウルトラ一覧!$A:$L,10,FALSE),"")</f>
        <v/>
      </c>
    </row>
    <row r="125">
      <c r="D125" s="4" t="n"/>
      <c r="K125">
        <f>IFERROR(VLOOKUP($D125,ウルトラ一覧!$A:$L,2,FALSE),"")</f>
        <v/>
      </c>
      <c r="L125">
        <f>IFERROR(VLOOKUP($D125,ウルトラ一覧!$A:$L,3,FALSE),"")</f>
        <v/>
      </c>
      <c r="M125">
        <f>IFERROR(VLOOKUP($D125,ウルトラ一覧!$A:$L,4,FALSE),"")</f>
        <v/>
      </c>
      <c r="N125">
        <f>IFERROR(VLOOKUP($D125,ウルトラ一覧!$A:$L,8,FALSE),"")</f>
        <v/>
      </c>
      <c r="O125">
        <f>IFERROR(VLOOKUP($D125,ウルトラ一覧!$A:$L,9,FALSE),"")</f>
        <v/>
      </c>
      <c r="P125">
        <f>IFERROR(VLOOKUP($D125,ウルトラ一覧!$A:$L,10,FALSE),"")</f>
        <v/>
      </c>
    </row>
    <row r="126">
      <c r="D126" s="4" t="n"/>
      <c r="K126">
        <f>IFERROR(VLOOKUP($D126,ウルトラ一覧!$A:$L,2,FALSE),"")</f>
        <v/>
      </c>
      <c r="L126">
        <f>IFERROR(VLOOKUP($D126,ウルトラ一覧!$A:$L,3,FALSE),"")</f>
        <v/>
      </c>
      <c r="M126">
        <f>IFERROR(VLOOKUP($D126,ウルトラ一覧!$A:$L,4,FALSE),"")</f>
        <v/>
      </c>
      <c r="N126">
        <f>IFERROR(VLOOKUP($D126,ウルトラ一覧!$A:$L,8,FALSE),"")</f>
        <v/>
      </c>
      <c r="O126">
        <f>IFERROR(VLOOKUP($D126,ウルトラ一覧!$A:$L,9,FALSE),"")</f>
        <v/>
      </c>
      <c r="P126">
        <f>IFERROR(VLOOKUP($D126,ウルトラ一覧!$A:$L,10,FALSE),"")</f>
        <v/>
      </c>
    </row>
    <row r="127">
      <c r="D127" s="4" t="n"/>
      <c r="K127">
        <f>IFERROR(VLOOKUP($D127,ウルトラ一覧!$A:$L,2,FALSE),"")</f>
        <v/>
      </c>
      <c r="L127">
        <f>IFERROR(VLOOKUP($D127,ウルトラ一覧!$A:$L,3,FALSE),"")</f>
        <v/>
      </c>
      <c r="M127">
        <f>IFERROR(VLOOKUP($D127,ウルトラ一覧!$A:$L,4,FALSE),"")</f>
        <v/>
      </c>
      <c r="N127">
        <f>IFERROR(VLOOKUP($D127,ウルトラ一覧!$A:$L,8,FALSE),"")</f>
        <v/>
      </c>
      <c r="O127">
        <f>IFERROR(VLOOKUP($D127,ウルトラ一覧!$A:$L,9,FALSE),"")</f>
        <v/>
      </c>
      <c r="P127">
        <f>IFERROR(VLOOKUP($D127,ウルトラ一覧!$A:$L,10,FALSE),"")</f>
        <v/>
      </c>
    </row>
    <row r="128">
      <c r="D128" s="4" t="n"/>
      <c r="K128">
        <f>IFERROR(VLOOKUP($D128,ウルトラ一覧!$A:$L,2,FALSE),"")</f>
        <v/>
      </c>
      <c r="L128">
        <f>IFERROR(VLOOKUP($D128,ウルトラ一覧!$A:$L,3,FALSE),"")</f>
        <v/>
      </c>
      <c r="M128">
        <f>IFERROR(VLOOKUP($D128,ウルトラ一覧!$A:$L,4,FALSE),"")</f>
        <v/>
      </c>
      <c r="N128">
        <f>IFERROR(VLOOKUP($D128,ウルトラ一覧!$A:$L,8,FALSE),"")</f>
        <v/>
      </c>
      <c r="O128">
        <f>IFERROR(VLOOKUP($D128,ウルトラ一覧!$A:$L,9,FALSE),"")</f>
        <v/>
      </c>
      <c r="P128">
        <f>IFERROR(VLOOKUP($D128,ウルトラ一覧!$A:$L,10,FALSE),"")</f>
        <v/>
      </c>
    </row>
    <row r="129">
      <c r="D129" s="4" t="n"/>
      <c r="K129">
        <f>IFERROR(VLOOKUP($D129,ウルトラ一覧!$A:$L,2,FALSE),"")</f>
        <v/>
      </c>
      <c r="L129">
        <f>IFERROR(VLOOKUP($D129,ウルトラ一覧!$A:$L,3,FALSE),"")</f>
        <v/>
      </c>
      <c r="M129">
        <f>IFERROR(VLOOKUP($D129,ウルトラ一覧!$A:$L,4,FALSE),"")</f>
        <v/>
      </c>
      <c r="N129">
        <f>IFERROR(VLOOKUP($D129,ウルトラ一覧!$A:$L,8,FALSE),"")</f>
        <v/>
      </c>
      <c r="O129">
        <f>IFERROR(VLOOKUP($D129,ウルトラ一覧!$A:$L,9,FALSE),"")</f>
        <v/>
      </c>
      <c r="P129">
        <f>IFERROR(VLOOKUP($D129,ウルトラ一覧!$A:$L,10,FALSE),"")</f>
        <v/>
      </c>
    </row>
    <row r="130">
      <c r="D130" s="4" t="n"/>
      <c r="K130">
        <f>IFERROR(VLOOKUP($D130,ウルトラ一覧!$A:$L,2,FALSE),"")</f>
        <v/>
      </c>
      <c r="L130">
        <f>IFERROR(VLOOKUP($D130,ウルトラ一覧!$A:$L,3,FALSE),"")</f>
        <v/>
      </c>
      <c r="M130">
        <f>IFERROR(VLOOKUP($D130,ウルトラ一覧!$A:$L,4,FALSE),"")</f>
        <v/>
      </c>
      <c r="N130">
        <f>IFERROR(VLOOKUP($D130,ウルトラ一覧!$A:$L,8,FALSE),"")</f>
        <v/>
      </c>
      <c r="O130">
        <f>IFERROR(VLOOKUP($D130,ウルトラ一覧!$A:$L,9,FALSE),"")</f>
        <v/>
      </c>
      <c r="P130">
        <f>IFERROR(VLOOKUP($D130,ウルトラ一覧!$A:$L,10,FALSE),"")</f>
        <v/>
      </c>
    </row>
    <row r="131">
      <c r="D131" s="4" t="n"/>
      <c r="K131">
        <f>IFERROR(VLOOKUP($D131,ウルトラ一覧!$A:$L,2,FALSE),"")</f>
        <v/>
      </c>
      <c r="L131">
        <f>IFERROR(VLOOKUP($D131,ウルトラ一覧!$A:$L,3,FALSE),"")</f>
        <v/>
      </c>
      <c r="M131">
        <f>IFERROR(VLOOKUP($D131,ウルトラ一覧!$A:$L,4,FALSE),"")</f>
        <v/>
      </c>
      <c r="N131">
        <f>IFERROR(VLOOKUP($D131,ウルトラ一覧!$A:$L,8,FALSE),"")</f>
        <v/>
      </c>
      <c r="O131">
        <f>IFERROR(VLOOKUP($D131,ウルトラ一覧!$A:$L,9,FALSE),"")</f>
        <v/>
      </c>
      <c r="P131">
        <f>IFERROR(VLOOKUP($D131,ウルトラ一覧!$A:$L,10,FALSE),"")</f>
        <v/>
      </c>
    </row>
    <row r="132">
      <c r="D132" s="4" t="n"/>
      <c r="K132">
        <f>IFERROR(VLOOKUP($D132,ウルトラ一覧!$A:$L,2,FALSE),"")</f>
        <v/>
      </c>
      <c r="L132">
        <f>IFERROR(VLOOKUP($D132,ウルトラ一覧!$A:$L,3,FALSE),"")</f>
        <v/>
      </c>
      <c r="M132">
        <f>IFERROR(VLOOKUP($D132,ウルトラ一覧!$A:$L,4,FALSE),"")</f>
        <v/>
      </c>
      <c r="N132">
        <f>IFERROR(VLOOKUP($D132,ウルトラ一覧!$A:$L,8,FALSE),"")</f>
        <v/>
      </c>
      <c r="O132">
        <f>IFERROR(VLOOKUP($D132,ウルトラ一覧!$A:$L,9,FALSE),"")</f>
        <v/>
      </c>
      <c r="P132">
        <f>IFERROR(VLOOKUP($D132,ウルトラ一覧!$A:$L,10,FALSE),"")</f>
        <v/>
      </c>
    </row>
    <row r="133">
      <c r="D133" s="4" t="n"/>
      <c r="K133">
        <f>IFERROR(VLOOKUP($D133,ウルトラ一覧!$A:$L,2,FALSE),"")</f>
        <v/>
      </c>
      <c r="L133">
        <f>IFERROR(VLOOKUP($D133,ウルトラ一覧!$A:$L,3,FALSE),"")</f>
        <v/>
      </c>
      <c r="M133">
        <f>IFERROR(VLOOKUP($D133,ウルトラ一覧!$A:$L,4,FALSE),"")</f>
        <v/>
      </c>
      <c r="N133">
        <f>IFERROR(VLOOKUP($D133,ウルトラ一覧!$A:$L,8,FALSE),"")</f>
        <v/>
      </c>
      <c r="O133">
        <f>IFERROR(VLOOKUP($D133,ウルトラ一覧!$A:$L,9,FALSE),"")</f>
        <v/>
      </c>
      <c r="P133">
        <f>IFERROR(VLOOKUP($D133,ウルトラ一覧!$A:$L,10,FALSE),"")</f>
        <v/>
      </c>
    </row>
    <row r="134">
      <c r="D134" s="4" t="n"/>
      <c r="K134">
        <f>IFERROR(VLOOKUP($D134,ウルトラ一覧!$A:$L,2,FALSE),"")</f>
        <v/>
      </c>
      <c r="L134">
        <f>IFERROR(VLOOKUP($D134,ウルトラ一覧!$A:$L,3,FALSE),"")</f>
        <v/>
      </c>
      <c r="M134">
        <f>IFERROR(VLOOKUP($D134,ウルトラ一覧!$A:$L,4,FALSE),"")</f>
        <v/>
      </c>
      <c r="N134">
        <f>IFERROR(VLOOKUP($D134,ウルトラ一覧!$A:$L,8,FALSE),"")</f>
        <v/>
      </c>
      <c r="O134">
        <f>IFERROR(VLOOKUP($D134,ウルトラ一覧!$A:$L,9,FALSE),"")</f>
        <v/>
      </c>
      <c r="P134">
        <f>IFERROR(VLOOKUP($D134,ウルトラ一覧!$A:$L,10,FALSE),"")</f>
        <v/>
      </c>
    </row>
    <row r="135">
      <c r="D135" s="4" t="n"/>
      <c r="K135">
        <f>IFERROR(VLOOKUP($D135,ウルトラ一覧!$A:$L,2,FALSE),"")</f>
        <v/>
      </c>
      <c r="L135">
        <f>IFERROR(VLOOKUP($D135,ウルトラ一覧!$A:$L,3,FALSE),"")</f>
        <v/>
      </c>
      <c r="M135">
        <f>IFERROR(VLOOKUP($D135,ウルトラ一覧!$A:$L,4,FALSE),"")</f>
        <v/>
      </c>
      <c r="N135">
        <f>IFERROR(VLOOKUP($D135,ウルトラ一覧!$A:$L,8,FALSE),"")</f>
        <v/>
      </c>
      <c r="O135">
        <f>IFERROR(VLOOKUP($D135,ウルトラ一覧!$A:$L,9,FALSE),"")</f>
        <v/>
      </c>
      <c r="P135">
        <f>IFERROR(VLOOKUP($D135,ウルトラ一覧!$A:$L,10,FALSE),"")</f>
        <v/>
      </c>
    </row>
    <row r="136">
      <c r="D136" s="4" t="n"/>
      <c r="K136">
        <f>IFERROR(VLOOKUP($D136,ウルトラ一覧!$A:$L,2,FALSE),"")</f>
        <v/>
      </c>
      <c r="L136">
        <f>IFERROR(VLOOKUP($D136,ウルトラ一覧!$A:$L,3,FALSE),"")</f>
        <v/>
      </c>
      <c r="M136">
        <f>IFERROR(VLOOKUP($D136,ウルトラ一覧!$A:$L,4,FALSE),"")</f>
        <v/>
      </c>
      <c r="N136">
        <f>IFERROR(VLOOKUP($D136,ウルトラ一覧!$A:$L,8,FALSE),"")</f>
        <v/>
      </c>
      <c r="O136">
        <f>IFERROR(VLOOKUP($D136,ウルトラ一覧!$A:$L,9,FALSE),"")</f>
        <v/>
      </c>
      <c r="P136">
        <f>IFERROR(VLOOKUP($D136,ウルトラ一覧!$A:$L,10,FALSE),"")</f>
        <v/>
      </c>
    </row>
    <row r="137">
      <c r="D137" s="4" t="n"/>
      <c r="K137">
        <f>IFERROR(VLOOKUP($D137,ウルトラ一覧!$A:$L,2,FALSE),"")</f>
        <v/>
      </c>
      <c r="L137">
        <f>IFERROR(VLOOKUP($D137,ウルトラ一覧!$A:$L,3,FALSE),"")</f>
        <v/>
      </c>
      <c r="M137">
        <f>IFERROR(VLOOKUP($D137,ウルトラ一覧!$A:$L,4,FALSE),"")</f>
        <v/>
      </c>
      <c r="N137">
        <f>IFERROR(VLOOKUP($D137,ウルトラ一覧!$A:$L,8,FALSE),"")</f>
        <v/>
      </c>
      <c r="O137">
        <f>IFERROR(VLOOKUP($D137,ウルトラ一覧!$A:$L,9,FALSE),"")</f>
        <v/>
      </c>
      <c r="P137">
        <f>IFERROR(VLOOKUP($D137,ウルトラ一覧!$A:$L,10,FALSE),"")</f>
        <v/>
      </c>
    </row>
    <row r="138">
      <c r="D138" s="4" t="n"/>
      <c r="K138">
        <f>IFERROR(VLOOKUP($D138,ウルトラ一覧!$A:$L,2,FALSE),"")</f>
        <v/>
      </c>
      <c r="L138">
        <f>IFERROR(VLOOKUP($D138,ウルトラ一覧!$A:$L,3,FALSE),"")</f>
        <v/>
      </c>
      <c r="M138">
        <f>IFERROR(VLOOKUP($D138,ウルトラ一覧!$A:$L,4,FALSE),"")</f>
        <v/>
      </c>
      <c r="N138">
        <f>IFERROR(VLOOKUP($D138,ウルトラ一覧!$A:$L,8,FALSE),"")</f>
        <v/>
      </c>
      <c r="O138">
        <f>IFERROR(VLOOKUP($D138,ウルトラ一覧!$A:$L,9,FALSE),"")</f>
        <v/>
      </c>
      <c r="P138">
        <f>IFERROR(VLOOKUP($D138,ウルトラ一覧!$A:$L,10,FALSE),"")</f>
        <v/>
      </c>
    </row>
    <row r="139">
      <c r="D139" s="4" t="n"/>
      <c r="K139">
        <f>IFERROR(VLOOKUP($D139,ウルトラ一覧!$A:$L,2,FALSE),"")</f>
        <v/>
      </c>
      <c r="L139">
        <f>IFERROR(VLOOKUP($D139,ウルトラ一覧!$A:$L,3,FALSE),"")</f>
        <v/>
      </c>
      <c r="M139">
        <f>IFERROR(VLOOKUP($D139,ウルトラ一覧!$A:$L,4,FALSE),"")</f>
        <v/>
      </c>
      <c r="N139">
        <f>IFERROR(VLOOKUP($D139,ウルトラ一覧!$A:$L,8,FALSE),"")</f>
        <v/>
      </c>
      <c r="O139">
        <f>IFERROR(VLOOKUP($D139,ウルトラ一覧!$A:$L,9,FALSE),"")</f>
        <v/>
      </c>
      <c r="P139">
        <f>IFERROR(VLOOKUP($D139,ウルトラ一覧!$A:$L,10,FALSE),"")</f>
        <v/>
      </c>
    </row>
    <row r="140">
      <c r="D140" s="4" t="n"/>
      <c r="K140">
        <f>IFERROR(VLOOKUP($D140,ウルトラ一覧!$A:$L,2,FALSE),"")</f>
        <v/>
      </c>
      <c r="L140">
        <f>IFERROR(VLOOKUP($D140,ウルトラ一覧!$A:$L,3,FALSE),"")</f>
        <v/>
      </c>
      <c r="M140">
        <f>IFERROR(VLOOKUP($D140,ウルトラ一覧!$A:$L,4,FALSE),"")</f>
        <v/>
      </c>
      <c r="N140">
        <f>IFERROR(VLOOKUP($D140,ウルトラ一覧!$A:$L,8,FALSE),"")</f>
        <v/>
      </c>
      <c r="O140">
        <f>IFERROR(VLOOKUP($D140,ウルトラ一覧!$A:$L,9,FALSE),"")</f>
        <v/>
      </c>
      <c r="P140">
        <f>IFERROR(VLOOKUP($D140,ウルトラ一覧!$A:$L,10,FALSE),"")</f>
        <v/>
      </c>
    </row>
    <row r="141">
      <c r="D141" s="4" t="n"/>
      <c r="K141">
        <f>IFERROR(VLOOKUP($D141,ウルトラ一覧!$A:$L,2,FALSE),"")</f>
        <v/>
      </c>
      <c r="L141">
        <f>IFERROR(VLOOKUP($D141,ウルトラ一覧!$A:$L,3,FALSE),"")</f>
        <v/>
      </c>
      <c r="M141">
        <f>IFERROR(VLOOKUP($D141,ウルトラ一覧!$A:$L,4,FALSE),"")</f>
        <v/>
      </c>
      <c r="N141">
        <f>IFERROR(VLOOKUP($D141,ウルトラ一覧!$A:$L,8,FALSE),"")</f>
        <v/>
      </c>
      <c r="O141">
        <f>IFERROR(VLOOKUP($D141,ウルトラ一覧!$A:$L,9,FALSE),"")</f>
        <v/>
      </c>
      <c r="P141">
        <f>IFERROR(VLOOKUP($D141,ウルトラ一覧!$A:$L,10,FALSE),"")</f>
        <v/>
      </c>
    </row>
    <row r="142">
      <c r="D142" s="4" t="n"/>
      <c r="K142">
        <f>IFERROR(VLOOKUP($D142,ウルトラ一覧!$A:$L,2,FALSE),"")</f>
        <v/>
      </c>
      <c r="L142">
        <f>IFERROR(VLOOKUP($D142,ウルトラ一覧!$A:$L,3,FALSE),"")</f>
        <v/>
      </c>
      <c r="M142">
        <f>IFERROR(VLOOKUP($D142,ウルトラ一覧!$A:$L,4,FALSE),"")</f>
        <v/>
      </c>
      <c r="N142">
        <f>IFERROR(VLOOKUP($D142,ウルトラ一覧!$A:$L,8,FALSE),"")</f>
        <v/>
      </c>
      <c r="O142">
        <f>IFERROR(VLOOKUP($D142,ウルトラ一覧!$A:$L,9,FALSE),"")</f>
        <v/>
      </c>
      <c r="P142">
        <f>IFERROR(VLOOKUP($D142,ウルトラ一覧!$A:$L,10,FALSE),"")</f>
        <v/>
      </c>
    </row>
    <row r="143">
      <c r="D143" s="4" t="n"/>
      <c r="K143">
        <f>IFERROR(VLOOKUP($D143,ウルトラ一覧!$A:$L,2,FALSE),"")</f>
        <v/>
      </c>
      <c r="L143">
        <f>IFERROR(VLOOKUP($D143,ウルトラ一覧!$A:$L,3,FALSE),"")</f>
        <v/>
      </c>
      <c r="M143">
        <f>IFERROR(VLOOKUP($D143,ウルトラ一覧!$A:$L,4,FALSE),"")</f>
        <v/>
      </c>
      <c r="N143">
        <f>IFERROR(VLOOKUP($D143,ウルトラ一覧!$A:$L,8,FALSE),"")</f>
        <v/>
      </c>
      <c r="O143">
        <f>IFERROR(VLOOKUP($D143,ウルトラ一覧!$A:$L,9,FALSE),"")</f>
        <v/>
      </c>
      <c r="P143">
        <f>IFERROR(VLOOKUP($D143,ウルトラ一覧!$A:$L,10,FALSE),"")</f>
        <v/>
      </c>
    </row>
    <row r="144">
      <c r="D144" s="4" t="n"/>
      <c r="K144">
        <f>IFERROR(VLOOKUP($D144,ウルトラ一覧!$A:$L,2,FALSE),"")</f>
        <v/>
      </c>
      <c r="L144">
        <f>IFERROR(VLOOKUP($D144,ウルトラ一覧!$A:$L,3,FALSE),"")</f>
        <v/>
      </c>
      <c r="M144">
        <f>IFERROR(VLOOKUP($D144,ウルトラ一覧!$A:$L,4,FALSE),"")</f>
        <v/>
      </c>
      <c r="N144">
        <f>IFERROR(VLOOKUP($D144,ウルトラ一覧!$A:$L,8,FALSE),"")</f>
        <v/>
      </c>
      <c r="O144">
        <f>IFERROR(VLOOKUP($D144,ウルトラ一覧!$A:$L,9,FALSE),"")</f>
        <v/>
      </c>
      <c r="P144">
        <f>IFERROR(VLOOKUP($D144,ウルトラ一覧!$A:$L,10,FALSE),"")</f>
        <v/>
      </c>
    </row>
    <row r="145">
      <c r="D145" s="4" t="n"/>
      <c r="K145">
        <f>IFERROR(VLOOKUP($D145,ウルトラ一覧!$A:$L,2,FALSE),"")</f>
        <v/>
      </c>
      <c r="L145">
        <f>IFERROR(VLOOKUP($D145,ウルトラ一覧!$A:$L,3,FALSE),"")</f>
        <v/>
      </c>
      <c r="M145">
        <f>IFERROR(VLOOKUP($D145,ウルトラ一覧!$A:$L,4,FALSE),"")</f>
        <v/>
      </c>
      <c r="N145">
        <f>IFERROR(VLOOKUP($D145,ウルトラ一覧!$A:$L,8,FALSE),"")</f>
        <v/>
      </c>
      <c r="O145">
        <f>IFERROR(VLOOKUP($D145,ウルトラ一覧!$A:$L,9,FALSE),"")</f>
        <v/>
      </c>
      <c r="P145">
        <f>IFERROR(VLOOKUP($D145,ウルトラ一覧!$A:$L,10,FALSE),"")</f>
        <v/>
      </c>
    </row>
    <row r="146">
      <c r="D146" s="4" t="n"/>
      <c r="K146">
        <f>IFERROR(VLOOKUP($D146,ウルトラ一覧!$A:$L,2,FALSE),"")</f>
        <v/>
      </c>
      <c r="L146">
        <f>IFERROR(VLOOKUP($D146,ウルトラ一覧!$A:$L,3,FALSE),"")</f>
        <v/>
      </c>
      <c r="M146">
        <f>IFERROR(VLOOKUP($D146,ウルトラ一覧!$A:$L,4,FALSE),"")</f>
        <v/>
      </c>
      <c r="N146">
        <f>IFERROR(VLOOKUP($D146,ウルトラ一覧!$A:$L,8,FALSE),"")</f>
        <v/>
      </c>
      <c r="O146">
        <f>IFERROR(VLOOKUP($D146,ウルトラ一覧!$A:$L,9,FALSE),"")</f>
        <v/>
      </c>
      <c r="P146">
        <f>IFERROR(VLOOKUP($D146,ウルトラ一覧!$A:$L,10,FALSE),"")</f>
        <v/>
      </c>
    </row>
    <row r="147">
      <c r="D147" s="4" t="n"/>
      <c r="K147">
        <f>IFERROR(VLOOKUP($D147,ウルトラ一覧!$A:$L,2,FALSE),"")</f>
        <v/>
      </c>
      <c r="L147">
        <f>IFERROR(VLOOKUP($D147,ウルトラ一覧!$A:$L,3,FALSE),"")</f>
        <v/>
      </c>
      <c r="M147">
        <f>IFERROR(VLOOKUP($D147,ウルトラ一覧!$A:$L,4,FALSE),"")</f>
        <v/>
      </c>
      <c r="N147">
        <f>IFERROR(VLOOKUP($D147,ウルトラ一覧!$A:$L,8,FALSE),"")</f>
        <v/>
      </c>
      <c r="O147">
        <f>IFERROR(VLOOKUP($D147,ウルトラ一覧!$A:$L,9,FALSE),"")</f>
        <v/>
      </c>
      <c r="P147">
        <f>IFERROR(VLOOKUP($D147,ウルトラ一覧!$A:$L,10,FALSE),"")</f>
        <v/>
      </c>
    </row>
    <row r="148">
      <c r="D148" s="4" t="n"/>
      <c r="K148">
        <f>IFERROR(VLOOKUP($D148,ウルトラ一覧!$A:$L,2,FALSE),"")</f>
        <v/>
      </c>
      <c r="L148">
        <f>IFERROR(VLOOKUP($D148,ウルトラ一覧!$A:$L,3,FALSE),"")</f>
        <v/>
      </c>
      <c r="M148">
        <f>IFERROR(VLOOKUP($D148,ウルトラ一覧!$A:$L,4,FALSE),"")</f>
        <v/>
      </c>
      <c r="N148">
        <f>IFERROR(VLOOKUP($D148,ウルトラ一覧!$A:$L,8,FALSE),"")</f>
        <v/>
      </c>
      <c r="O148">
        <f>IFERROR(VLOOKUP($D148,ウルトラ一覧!$A:$L,9,FALSE),"")</f>
        <v/>
      </c>
      <c r="P148">
        <f>IFERROR(VLOOKUP($D148,ウルトラ一覧!$A:$L,10,FALSE),"")</f>
        <v/>
      </c>
    </row>
    <row r="149">
      <c r="D149" s="4" t="n"/>
      <c r="K149">
        <f>IFERROR(VLOOKUP($D149,ウルトラ一覧!$A:$L,2,FALSE),"")</f>
        <v/>
      </c>
      <c r="L149">
        <f>IFERROR(VLOOKUP($D149,ウルトラ一覧!$A:$L,3,FALSE),"")</f>
        <v/>
      </c>
      <c r="M149">
        <f>IFERROR(VLOOKUP($D149,ウルトラ一覧!$A:$L,4,FALSE),"")</f>
        <v/>
      </c>
      <c r="N149">
        <f>IFERROR(VLOOKUP($D149,ウルトラ一覧!$A:$L,8,FALSE),"")</f>
        <v/>
      </c>
      <c r="O149">
        <f>IFERROR(VLOOKUP($D149,ウルトラ一覧!$A:$L,9,FALSE),"")</f>
        <v/>
      </c>
      <c r="P149">
        <f>IFERROR(VLOOKUP($D149,ウルトラ一覧!$A:$L,10,FALSE),"")</f>
        <v/>
      </c>
    </row>
    <row r="150">
      <c r="D150" s="4" t="n"/>
      <c r="K150">
        <f>IFERROR(VLOOKUP($D150,ウルトラ一覧!$A:$L,2,FALSE),"")</f>
        <v/>
      </c>
      <c r="L150">
        <f>IFERROR(VLOOKUP($D150,ウルトラ一覧!$A:$L,3,FALSE),"")</f>
        <v/>
      </c>
      <c r="M150">
        <f>IFERROR(VLOOKUP($D150,ウルトラ一覧!$A:$L,4,FALSE),"")</f>
        <v/>
      </c>
      <c r="N150">
        <f>IFERROR(VLOOKUP($D150,ウルトラ一覧!$A:$L,8,FALSE),"")</f>
        <v/>
      </c>
      <c r="O150">
        <f>IFERROR(VLOOKUP($D150,ウルトラ一覧!$A:$L,9,FALSE),"")</f>
        <v/>
      </c>
      <c r="P150">
        <f>IFERROR(VLOOKUP($D150,ウルトラ一覧!$A:$L,10,FALSE),"")</f>
        <v/>
      </c>
    </row>
    <row r="151">
      <c r="D151" s="4" t="n"/>
      <c r="K151">
        <f>IFERROR(VLOOKUP($D151,ウルトラ一覧!$A:$L,2,FALSE),"")</f>
        <v/>
      </c>
      <c r="L151">
        <f>IFERROR(VLOOKUP($D151,ウルトラ一覧!$A:$L,3,FALSE),"")</f>
        <v/>
      </c>
      <c r="M151">
        <f>IFERROR(VLOOKUP($D151,ウルトラ一覧!$A:$L,4,FALSE),"")</f>
        <v/>
      </c>
      <c r="N151">
        <f>IFERROR(VLOOKUP($D151,ウルトラ一覧!$A:$L,8,FALSE),"")</f>
        <v/>
      </c>
      <c r="O151">
        <f>IFERROR(VLOOKUP($D151,ウルトラ一覧!$A:$L,9,FALSE),"")</f>
        <v/>
      </c>
      <c r="P151">
        <f>IFERROR(VLOOKUP($D151,ウルトラ一覧!$A:$L,10,FALSE),"")</f>
        <v/>
      </c>
    </row>
    <row r="152">
      <c r="D152" s="4" t="n"/>
      <c r="K152">
        <f>IFERROR(VLOOKUP($D152,ウルトラ一覧!$A:$L,2,FALSE),"")</f>
        <v/>
      </c>
      <c r="L152">
        <f>IFERROR(VLOOKUP($D152,ウルトラ一覧!$A:$L,3,FALSE),"")</f>
        <v/>
      </c>
      <c r="M152">
        <f>IFERROR(VLOOKUP($D152,ウルトラ一覧!$A:$L,4,FALSE),"")</f>
        <v/>
      </c>
      <c r="N152">
        <f>IFERROR(VLOOKUP($D152,ウルトラ一覧!$A:$L,8,FALSE),"")</f>
        <v/>
      </c>
      <c r="O152">
        <f>IFERROR(VLOOKUP($D152,ウルトラ一覧!$A:$L,9,FALSE),"")</f>
        <v/>
      </c>
      <c r="P152">
        <f>IFERROR(VLOOKUP($D152,ウルトラ一覧!$A:$L,10,FALSE),"")</f>
        <v/>
      </c>
    </row>
    <row r="153">
      <c r="D153" s="4" t="n"/>
      <c r="K153">
        <f>IFERROR(VLOOKUP($D153,ウルトラ一覧!$A:$L,2,FALSE),"")</f>
        <v/>
      </c>
      <c r="L153">
        <f>IFERROR(VLOOKUP($D153,ウルトラ一覧!$A:$L,3,FALSE),"")</f>
        <v/>
      </c>
      <c r="M153">
        <f>IFERROR(VLOOKUP($D153,ウルトラ一覧!$A:$L,4,FALSE),"")</f>
        <v/>
      </c>
      <c r="N153">
        <f>IFERROR(VLOOKUP($D153,ウルトラ一覧!$A:$L,8,FALSE),"")</f>
        <v/>
      </c>
      <c r="O153">
        <f>IFERROR(VLOOKUP($D153,ウルトラ一覧!$A:$L,9,FALSE),"")</f>
        <v/>
      </c>
      <c r="P153">
        <f>IFERROR(VLOOKUP($D153,ウルトラ一覧!$A:$L,10,FALSE),"")</f>
        <v/>
      </c>
    </row>
    <row r="154">
      <c r="D154" s="4" t="n"/>
      <c r="K154">
        <f>IFERROR(VLOOKUP($D154,ウルトラ一覧!$A:$L,2,FALSE),"")</f>
        <v/>
      </c>
      <c r="L154">
        <f>IFERROR(VLOOKUP($D154,ウルトラ一覧!$A:$L,3,FALSE),"")</f>
        <v/>
      </c>
      <c r="M154">
        <f>IFERROR(VLOOKUP($D154,ウルトラ一覧!$A:$L,4,FALSE),"")</f>
        <v/>
      </c>
      <c r="N154">
        <f>IFERROR(VLOOKUP($D154,ウルトラ一覧!$A:$L,8,FALSE),"")</f>
        <v/>
      </c>
      <c r="O154">
        <f>IFERROR(VLOOKUP($D154,ウルトラ一覧!$A:$L,9,FALSE),"")</f>
        <v/>
      </c>
      <c r="P154">
        <f>IFERROR(VLOOKUP($D154,ウルトラ一覧!$A:$L,10,FALSE),"")</f>
        <v/>
      </c>
    </row>
    <row r="155">
      <c r="D155" s="4" t="n"/>
      <c r="K155">
        <f>IFERROR(VLOOKUP($D155,ウルトラ一覧!$A:$L,2,FALSE),"")</f>
        <v/>
      </c>
      <c r="L155">
        <f>IFERROR(VLOOKUP($D155,ウルトラ一覧!$A:$L,3,FALSE),"")</f>
        <v/>
      </c>
      <c r="M155">
        <f>IFERROR(VLOOKUP($D155,ウルトラ一覧!$A:$L,4,FALSE),"")</f>
        <v/>
      </c>
      <c r="N155">
        <f>IFERROR(VLOOKUP($D155,ウルトラ一覧!$A:$L,8,FALSE),"")</f>
        <v/>
      </c>
      <c r="O155">
        <f>IFERROR(VLOOKUP($D155,ウルトラ一覧!$A:$L,9,FALSE),"")</f>
        <v/>
      </c>
      <c r="P155">
        <f>IFERROR(VLOOKUP($D155,ウルトラ一覧!$A:$L,10,FALSE),"")</f>
        <v/>
      </c>
    </row>
    <row r="156">
      <c r="D156" s="4" t="n"/>
      <c r="K156">
        <f>IFERROR(VLOOKUP($D156,ウルトラ一覧!$A:$L,2,FALSE),"")</f>
        <v/>
      </c>
      <c r="L156">
        <f>IFERROR(VLOOKUP($D156,ウルトラ一覧!$A:$L,3,FALSE),"")</f>
        <v/>
      </c>
      <c r="M156">
        <f>IFERROR(VLOOKUP($D156,ウルトラ一覧!$A:$L,4,FALSE),"")</f>
        <v/>
      </c>
      <c r="N156">
        <f>IFERROR(VLOOKUP($D156,ウルトラ一覧!$A:$L,8,FALSE),"")</f>
        <v/>
      </c>
      <c r="O156">
        <f>IFERROR(VLOOKUP($D156,ウルトラ一覧!$A:$L,9,FALSE),"")</f>
        <v/>
      </c>
      <c r="P156">
        <f>IFERROR(VLOOKUP($D156,ウルトラ一覧!$A:$L,10,FALSE),"")</f>
        <v/>
      </c>
    </row>
    <row r="157">
      <c r="D157" s="4" t="n"/>
      <c r="K157">
        <f>IFERROR(VLOOKUP($D157,ウルトラ一覧!$A:$L,2,FALSE),"")</f>
        <v/>
      </c>
      <c r="L157">
        <f>IFERROR(VLOOKUP($D157,ウルトラ一覧!$A:$L,3,FALSE),"")</f>
        <v/>
      </c>
      <c r="M157">
        <f>IFERROR(VLOOKUP($D157,ウルトラ一覧!$A:$L,4,FALSE),"")</f>
        <v/>
      </c>
      <c r="N157">
        <f>IFERROR(VLOOKUP($D157,ウルトラ一覧!$A:$L,8,FALSE),"")</f>
        <v/>
      </c>
      <c r="O157">
        <f>IFERROR(VLOOKUP($D157,ウルトラ一覧!$A:$L,9,FALSE),"")</f>
        <v/>
      </c>
      <c r="P157">
        <f>IFERROR(VLOOKUP($D157,ウルトラ一覧!$A:$L,10,FALSE),"")</f>
        <v/>
      </c>
    </row>
    <row r="158">
      <c r="D158" s="4" t="n"/>
      <c r="K158">
        <f>IFERROR(VLOOKUP($D158,ウルトラ一覧!$A:$L,2,FALSE),"")</f>
        <v/>
      </c>
      <c r="L158">
        <f>IFERROR(VLOOKUP($D158,ウルトラ一覧!$A:$L,3,FALSE),"")</f>
        <v/>
      </c>
      <c r="M158">
        <f>IFERROR(VLOOKUP($D158,ウルトラ一覧!$A:$L,4,FALSE),"")</f>
        <v/>
      </c>
      <c r="N158">
        <f>IFERROR(VLOOKUP($D158,ウルトラ一覧!$A:$L,8,FALSE),"")</f>
        <v/>
      </c>
      <c r="O158">
        <f>IFERROR(VLOOKUP($D158,ウルトラ一覧!$A:$L,9,FALSE),"")</f>
        <v/>
      </c>
      <c r="P158">
        <f>IFERROR(VLOOKUP($D158,ウルトラ一覧!$A:$L,10,FALSE),"")</f>
        <v/>
      </c>
    </row>
    <row r="159">
      <c r="D159" s="4" t="n"/>
      <c r="K159">
        <f>IFERROR(VLOOKUP($D159,ウルトラ一覧!$A:$L,2,FALSE),"")</f>
        <v/>
      </c>
      <c r="L159">
        <f>IFERROR(VLOOKUP($D159,ウルトラ一覧!$A:$L,3,FALSE),"")</f>
        <v/>
      </c>
      <c r="M159">
        <f>IFERROR(VLOOKUP($D159,ウルトラ一覧!$A:$L,4,FALSE),"")</f>
        <v/>
      </c>
      <c r="N159">
        <f>IFERROR(VLOOKUP($D159,ウルトラ一覧!$A:$L,8,FALSE),"")</f>
        <v/>
      </c>
      <c r="O159">
        <f>IFERROR(VLOOKUP($D159,ウルトラ一覧!$A:$L,9,FALSE),"")</f>
        <v/>
      </c>
      <c r="P159">
        <f>IFERROR(VLOOKUP($D159,ウルトラ一覧!$A:$L,10,FALSE),"")</f>
        <v/>
      </c>
    </row>
    <row r="160">
      <c r="D160" s="4" t="n"/>
      <c r="K160">
        <f>IFERROR(VLOOKUP($D160,ウルトラ一覧!$A:$L,2,FALSE),"")</f>
        <v/>
      </c>
      <c r="L160">
        <f>IFERROR(VLOOKUP($D160,ウルトラ一覧!$A:$L,3,FALSE),"")</f>
        <v/>
      </c>
      <c r="M160">
        <f>IFERROR(VLOOKUP($D160,ウルトラ一覧!$A:$L,4,FALSE),"")</f>
        <v/>
      </c>
      <c r="N160">
        <f>IFERROR(VLOOKUP($D160,ウルトラ一覧!$A:$L,8,FALSE),"")</f>
        <v/>
      </c>
      <c r="O160">
        <f>IFERROR(VLOOKUP($D160,ウルトラ一覧!$A:$L,9,FALSE),"")</f>
        <v/>
      </c>
      <c r="P160">
        <f>IFERROR(VLOOKUP($D160,ウルトラ一覧!$A:$L,10,FALSE),"")</f>
        <v/>
      </c>
    </row>
    <row r="161">
      <c r="D161" s="4" t="n"/>
      <c r="K161">
        <f>IFERROR(VLOOKUP($D161,ウルトラ一覧!$A:$L,2,FALSE),"")</f>
        <v/>
      </c>
      <c r="L161">
        <f>IFERROR(VLOOKUP($D161,ウルトラ一覧!$A:$L,3,FALSE),"")</f>
        <v/>
      </c>
      <c r="M161">
        <f>IFERROR(VLOOKUP($D161,ウルトラ一覧!$A:$L,4,FALSE),"")</f>
        <v/>
      </c>
      <c r="N161">
        <f>IFERROR(VLOOKUP($D161,ウルトラ一覧!$A:$L,8,FALSE),"")</f>
        <v/>
      </c>
      <c r="O161">
        <f>IFERROR(VLOOKUP($D161,ウルトラ一覧!$A:$L,9,FALSE),"")</f>
        <v/>
      </c>
      <c r="P161">
        <f>IFERROR(VLOOKUP($D161,ウルトラ一覧!$A:$L,10,FALSE),"")</f>
        <v/>
      </c>
    </row>
    <row r="162">
      <c r="D162" s="4" t="n"/>
      <c r="K162">
        <f>IFERROR(VLOOKUP($D162,ウルトラ一覧!$A:$L,2,FALSE),"")</f>
        <v/>
      </c>
      <c r="L162">
        <f>IFERROR(VLOOKUP($D162,ウルトラ一覧!$A:$L,3,FALSE),"")</f>
        <v/>
      </c>
      <c r="M162">
        <f>IFERROR(VLOOKUP($D162,ウルトラ一覧!$A:$L,4,FALSE),"")</f>
        <v/>
      </c>
      <c r="N162">
        <f>IFERROR(VLOOKUP($D162,ウルトラ一覧!$A:$L,8,FALSE),"")</f>
        <v/>
      </c>
      <c r="O162">
        <f>IFERROR(VLOOKUP($D162,ウルトラ一覧!$A:$L,9,FALSE),"")</f>
        <v/>
      </c>
      <c r="P162">
        <f>IFERROR(VLOOKUP($D162,ウルトラ一覧!$A:$L,10,FALSE),"")</f>
        <v/>
      </c>
    </row>
    <row r="163">
      <c r="D163" s="4" t="n"/>
      <c r="K163">
        <f>IFERROR(VLOOKUP($D163,ウルトラ一覧!$A:$L,2,FALSE),"")</f>
        <v/>
      </c>
      <c r="L163">
        <f>IFERROR(VLOOKUP($D163,ウルトラ一覧!$A:$L,3,FALSE),"")</f>
        <v/>
      </c>
      <c r="M163">
        <f>IFERROR(VLOOKUP($D163,ウルトラ一覧!$A:$L,4,FALSE),"")</f>
        <v/>
      </c>
      <c r="N163">
        <f>IFERROR(VLOOKUP($D163,ウルトラ一覧!$A:$L,8,FALSE),"")</f>
        <v/>
      </c>
      <c r="O163">
        <f>IFERROR(VLOOKUP($D163,ウルトラ一覧!$A:$L,9,FALSE),"")</f>
        <v/>
      </c>
      <c r="P163">
        <f>IFERROR(VLOOKUP($D163,ウルトラ一覧!$A:$L,10,FALSE),"")</f>
        <v/>
      </c>
    </row>
    <row r="164">
      <c r="D164" s="4" t="n"/>
      <c r="K164">
        <f>IFERROR(VLOOKUP($D164,ウルトラ一覧!$A:$L,2,FALSE),"")</f>
        <v/>
      </c>
      <c r="L164">
        <f>IFERROR(VLOOKUP($D164,ウルトラ一覧!$A:$L,3,FALSE),"")</f>
        <v/>
      </c>
      <c r="M164">
        <f>IFERROR(VLOOKUP($D164,ウルトラ一覧!$A:$L,4,FALSE),"")</f>
        <v/>
      </c>
      <c r="N164">
        <f>IFERROR(VLOOKUP($D164,ウルトラ一覧!$A:$L,8,FALSE),"")</f>
        <v/>
      </c>
      <c r="O164">
        <f>IFERROR(VLOOKUP($D164,ウルトラ一覧!$A:$L,9,FALSE),"")</f>
        <v/>
      </c>
      <c r="P164">
        <f>IFERROR(VLOOKUP($D164,ウルトラ一覧!$A:$L,10,FALSE),"")</f>
        <v/>
      </c>
    </row>
    <row r="165">
      <c r="D165" s="4" t="n"/>
      <c r="K165">
        <f>IFERROR(VLOOKUP($D165,ウルトラ一覧!$A:$L,2,FALSE),"")</f>
        <v/>
      </c>
      <c r="L165">
        <f>IFERROR(VLOOKUP($D165,ウルトラ一覧!$A:$L,3,FALSE),"")</f>
        <v/>
      </c>
      <c r="M165">
        <f>IFERROR(VLOOKUP($D165,ウルトラ一覧!$A:$L,4,FALSE),"")</f>
        <v/>
      </c>
      <c r="N165">
        <f>IFERROR(VLOOKUP($D165,ウルトラ一覧!$A:$L,8,FALSE),"")</f>
        <v/>
      </c>
      <c r="O165">
        <f>IFERROR(VLOOKUP($D165,ウルトラ一覧!$A:$L,9,FALSE),"")</f>
        <v/>
      </c>
      <c r="P165">
        <f>IFERROR(VLOOKUP($D165,ウルトラ一覧!$A:$L,10,FALSE),"")</f>
        <v/>
      </c>
    </row>
    <row r="166">
      <c r="D166" s="4" t="n"/>
      <c r="K166">
        <f>IFERROR(VLOOKUP($D166,ウルトラ一覧!$A:$L,2,FALSE),"")</f>
        <v/>
      </c>
      <c r="L166">
        <f>IFERROR(VLOOKUP($D166,ウルトラ一覧!$A:$L,3,FALSE),"")</f>
        <v/>
      </c>
      <c r="M166">
        <f>IFERROR(VLOOKUP($D166,ウルトラ一覧!$A:$L,4,FALSE),"")</f>
        <v/>
      </c>
      <c r="N166">
        <f>IFERROR(VLOOKUP($D166,ウルトラ一覧!$A:$L,8,FALSE),"")</f>
        <v/>
      </c>
      <c r="O166">
        <f>IFERROR(VLOOKUP($D166,ウルトラ一覧!$A:$L,9,FALSE),"")</f>
        <v/>
      </c>
      <c r="P166">
        <f>IFERROR(VLOOKUP($D166,ウルトラ一覧!$A:$L,10,FALSE),"")</f>
        <v/>
      </c>
    </row>
    <row r="167">
      <c r="D167" s="4" t="n"/>
      <c r="K167">
        <f>IFERROR(VLOOKUP($D167,ウルトラ一覧!$A:$L,2,FALSE),"")</f>
        <v/>
      </c>
      <c r="L167">
        <f>IFERROR(VLOOKUP($D167,ウルトラ一覧!$A:$L,3,FALSE),"")</f>
        <v/>
      </c>
      <c r="M167">
        <f>IFERROR(VLOOKUP($D167,ウルトラ一覧!$A:$L,4,FALSE),"")</f>
        <v/>
      </c>
      <c r="N167">
        <f>IFERROR(VLOOKUP($D167,ウルトラ一覧!$A:$L,8,FALSE),"")</f>
        <v/>
      </c>
      <c r="O167">
        <f>IFERROR(VLOOKUP($D167,ウルトラ一覧!$A:$L,9,FALSE),"")</f>
        <v/>
      </c>
      <c r="P167">
        <f>IFERROR(VLOOKUP($D167,ウルトラ一覧!$A:$L,10,FALSE),"")</f>
        <v/>
      </c>
    </row>
    <row r="168">
      <c r="D168" s="4" t="n"/>
      <c r="K168">
        <f>IFERROR(VLOOKUP($D168,ウルトラ一覧!$A:$L,2,FALSE),"")</f>
        <v/>
      </c>
      <c r="L168">
        <f>IFERROR(VLOOKUP($D168,ウルトラ一覧!$A:$L,3,FALSE),"")</f>
        <v/>
      </c>
      <c r="M168">
        <f>IFERROR(VLOOKUP($D168,ウルトラ一覧!$A:$L,4,FALSE),"")</f>
        <v/>
      </c>
      <c r="N168">
        <f>IFERROR(VLOOKUP($D168,ウルトラ一覧!$A:$L,8,FALSE),"")</f>
        <v/>
      </c>
      <c r="O168">
        <f>IFERROR(VLOOKUP($D168,ウルトラ一覧!$A:$L,9,FALSE),"")</f>
        <v/>
      </c>
      <c r="P168">
        <f>IFERROR(VLOOKUP($D168,ウルトラ一覧!$A:$L,10,FALSE),"")</f>
        <v/>
      </c>
    </row>
    <row r="169">
      <c r="D169" s="4" t="n"/>
      <c r="K169">
        <f>IFERROR(VLOOKUP($D169,ウルトラ一覧!$A:$L,2,FALSE),"")</f>
        <v/>
      </c>
      <c r="L169">
        <f>IFERROR(VLOOKUP($D169,ウルトラ一覧!$A:$L,3,FALSE),"")</f>
        <v/>
      </c>
      <c r="M169">
        <f>IFERROR(VLOOKUP($D169,ウルトラ一覧!$A:$L,4,FALSE),"")</f>
        <v/>
      </c>
      <c r="N169">
        <f>IFERROR(VLOOKUP($D169,ウルトラ一覧!$A:$L,8,FALSE),"")</f>
        <v/>
      </c>
      <c r="O169">
        <f>IFERROR(VLOOKUP($D169,ウルトラ一覧!$A:$L,9,FALSE),"")</f>
        <v/>
      </c>
      <c r="P169">
        <f>IFERROR(VLOOKUP($D169,ウルトラ一覧!$A:$L,10,FALSE),"")</f>
        <v/>
      </c>
    </row>
    <row r="170">
      <c r="D170" s="4" t="n"/>
      <c r="K170">
        <f>IFERROR(VLOOKUP($D170,ウルトラ一覧!$A:$L,2,FALSE),"")</f>
        <v/>
      </c>
      <c r="L170">
        <f>IFERROR(VLOOKUP($D170,ウルトラ一覧!$A:$L,3,FALSE),"")</f>
        <v/>
      </c>
      <c r="M170">
        <f>IFERROR(VLOOKUP($D170,ウルトラ一覧!$A:$L,4,FALSE),"")</f>
        <v/>
      </c>
      <c r="N170">
        <f>IFERROR(VLOOKUP($D170,ウルトラ一覧!$A:$L,8,FALSE),"")</f>
        <v/>
      </c>
      <c r="O170">
        <f>IFERROR(VLOOKUP($D170,ウルトラ一覧!$A:$L,9,FALSE),"")</f>
        <v/>
      </c>
      <c r="P170">
        <f>IFERROR(VLOOKUP($D170,ウルトラ一覧!$A:$L,10,FALSE),"")</f>
        <v/>
      </c>
    </row>
    <row r="171">
      <c r="D171" s="4" t="n"/>
      <c r="K171">
        <f>IFERROR(VLOOKUP($D171,ウルトラ一覧!$A:$L,2,FALSE),"")</f>
        <v/>
      </c>
      <c r="L171">
        <f>IFERROR(VLOOKUP($D171,ウルトラ一覧!$A:$L,3,FALSE),"")</f>
        <v/>
      </c>
      <c r="M171">
        <f>IFERROR(VLOOKUP($D171,ウルトラ一覧!$A:$L,4,FALSE),"")</f>
        <v/>
      </c>
      <c r="N171">
        <f>IFERROR(VLOOKUP($D171,ウルトラ一覧!$A:$L,8,FALSE),"")</f>
        <v/>
      </c>
      <c r="O171">
        <f>IFERROR(VLOOKUP($D171,ウルトラ一覧!$A:$L,9,FALSE),"")</f>
        <v/>
      </c>
      <c r="P171">
        <f>IFERROR(VLOOKUP($D171,ウルトラ一覧!$A:$L,10,FALSE),"")</f>
        <v/>
      </c>
    </row>
    <row r="172">
      <c r="D172" s="4" t="n"/>
      <c r="K172">
        <f>IFERROR(VLOOKUP($D172,ウルトラ一覧!$A:$L,2,FALSE),"")</f>
        <v/>
      </c>
      <c r="L172">
        <f>IFERROR(VLOOKUP($D172,ウルトラ一覧!$A:$L,3,FALSE),"")</f>
        <v/>
      </c>
      <c r="M172">
        <f>IFERROR(VLOOKUP($D172,ウルトラ一覧!$A:$L,4,FALSE),"")</f>
        <v/>
      </c>
      <c r="N172">
        <f>IFERROR(VLOOKUP($D172,ウルトラ一覧!$A:$L,8,FALSE),"")</f>
        <v/>
      </c>
      <c r="O172">
        <f>IFERROR(VLOOKUP($D172,ウルトラ一覧!$A:$L,9,FALSE),"")</f>
        <v/>
      </c>
      <c r="P172">
        <f>IFERROR(VLOOKUP($D172,ウルトラ一覧!$A:$L,10,FALSE),"")</f>
        <v/>
      </c>
    </row>
    <row r="173">
      <c r="D173" s="4" t="n"/>
      <c r="K173">
        <f>IFERROR(VLOOKUP($D173,ウルトラ一覧!$A:$L,2,FALSE),"")</f>
        <v/>
      </c>
      <c r="L173">
        <f>IFERROR(VLOOKUP($D173,ウルトラ一覧!$A:$L,3,FALSE),"")</f>
        <v/>
      </c>
      <c r="M173">
        <f>IFERROR(VLOOKUP($D173,ウルトラ一覧!$A:$L,4,FALSE),"")</f>
        <v/>
      </c>
      <c r="N173">
        <f>IFERROR(VLOOKUP($D173,ウルトラ一覧!$A:$L,8,FALSE),"")</f>
        <v/>
      </c>
      <c r="O173">
        <f>IFERROR(VLOOKUP($D173,ウルトラ一覧!$A:$L,9,FALSE),"")</f>
        <v/>
      </c>
      <c r="P173">
        <f>IFERROR(VLOOKUP($D173,ウルトラ一覧!$A:$L,10,FALSE),"")</f>
        <v/>
      </c>
    </row>
    <row r="174">
      <c r="D174" s="4" t="n"/>
      <c r="K174">
        <f>IFERROR(VLOOKUP($D174,ウルトラ一覧!$A:$L,2,FALSE),"")</f>
        <v/>
      </c>
      <c r="L174">
        <f>IFERROR(VLOOKUP($D174,ウルトラ一覧!$A:$L,3,FALSE),"")</f>
        <v/>
      </c>
      <c r="M174">
        <f>IFERROR(VLOOKUP($D174,ウルトラ一覧!$A:$L,4,FALSE),"")</f>
        <v/>
      </c>
      <c r="N174">
        <f>IFERROR(VLOOKUP($D174,ウルトラ一覧!$A:$L,8,FALSE),"")</f>
        <v/>
      </c>
      <c r="O174">
        <f>IFERROR(VLOOKUP($D174,ウルトラ一覧!$A:$L,9,FALSE),"")</f>
        <v/>
      </c>
      <c r="P174">
        <f>IFERROR(VLOOKUP($D174,ウルトラ一覧!$A:$L,10,FALSE),"")</f>
        <v/>
      </c>
    </row>
    <row r="175">
      <c r="D175" s="4" t="n"/>
      <c r="K175">
        <f>IFERROR(VLOOKUP($D175,ウルトラ一覧!$A:$L,2,FALSE),"")</f>
        <v/>
      </c>
      <c r="L175">
        <f>IFERROR(VLOOKUP($D175,ウルトラ一覧!$A:$L,3,FALSE),"")</f>
        <v/>
      </c>
      <c r="M175">
        <f>IFERROR(VLOOKUP($D175,ウルトラ一覧!$A:$L,4,FALSE),"")</f>
        <v/>
      </c>
      <c r="N175">
        <f>IFERROR(VLOOKUP($D175,ウルトラ一覧!$A:$L,8,FALSE),"")</f>
        <v/>
      </c>
      <c r="O175">
        <f>IFERROR(VLOOKUP($D175,ウルトラ一覧!$A:$L,9,FALSE),"")</f>
        <v/>
      </c>
      <c r="P175">
        <f>IFERROR(VLOOKUP($D175,ウルトラ一覧!$A:$L,10,FALSE),"")</f>
        <v/>
      </c>
    </row>
    <row r="176">
      <c r="D176" s="4" t="n"/>
      <c r="K176">
        <f>IFERROR(VLOOKUP($D176,ウルトラ一覧!$A:$L,2,FALSE),"")</f>
        <v/>
      </c>
      <c r="L176">
        <f>IFERROR(VLOOKUP($D176,ウルトラ一覧!$A:$L,3,FALSE),"")</f>
        <v/>
      </c>
      <c r="M176">
        <f>IFERROR(VLOOKUP($D176,ウルトラ一覧!$A:$L,4,FALSE),"")</f>
        <v/>
      </c>
      <c r="N176">
        <f>IFERROR(VLOOKUP($D176,ウルトラ一覧!$A:$L,8,FALSE),"")</f>
        <v/>
      </c>
      <c r="O176">
        <f>IFERROR(VLOOKUP($D176,ウルトラ一覧!$A:$L,9,FALSE),"")</f>
        <v/>
      </c>
      <c r="P176">
        <f>IFERROR(VLOOKUP($D176,ウルトラ一覧!$A:$L,10,FALSE),"")</f>
        <v/>
      </c>
    </row>
    <row r="177">
      <c r="D177" s="4" t="n"/>
      <c r="K177">
        <f>IFERROR(VLOOKUP($D177,ウルトラ一覧!$A:$L,2,FALSE),"")</f>
        <v/>
      </c>
      <c r="L177">
        <f>IFERROR(VLOOKUP($D177,ウルトラ一覧!$A:$L,3,FALSE),"")</f>
        <v/>
      </c>
      <c r="M177">
        <f>IFERROR(VLOOKUP($D177,ウルトラ一覧!$A:$L,4,FALSE),"")</f>
        <v/>
      </c>
      <c r="N177">
        <f>IFERROR(VLOOKUP($D177,ウルトラ一覧!$A:$L,8,FALSE),"")</f>
        <v/>
      </c>
      <c r="O177">
        <f>IFERROR(VLOOKUP($D177,ウルトラ一覧!$A:$L,9,FALSE),"")</f>
        <v/>
      </c>
      <c r="P177">
        <f>IFERROR(VLOOKUP($D177,ウルトラ一覧!$A:$L,10,FALSE),"")</f>
        <v/>
      </c>
    </row>
    <row r="178">
      <c r="D178" s="4" t="n"/>
      <c r="K178">
        <f>IFERROR(VLOOKUP($D178,ウルトラ一覧!$A:$L,2,FALSE),"")</f>
        <v/>
      </c>
      <c r="L178">
        <f>IFERROR(VLOOKUP($D178,ウルトラ一覧!$A:$L,3,FALSE),"")</f>
        <v/>
      </c>
      <c r="M178">
        <f>IFERROR(VLOOKUP($D178,ウルトラ一覧!$A:$L,4,FALSE),"")</f>
        <v/>
      </c>
      <c r="N178">
        <f>IFERROR(VLOOKUP($D178,ウルトラ一覧!$A:$L,8,FALSE),"")</f>
        <v/>
      </c>
      <c r="O178">
        <f>IFERROR(VLOOKUP($D178,ウルトラ一覧!$A:$L,9,FALSE),"")</f>
        <v/>
      </c>
      <c r="P178">
        <f>IFERROR(VLOOKUP($D178,ウルトラ一覧!$A:$L,10,FALSE),"")</f>
        <v/>
      </c>
    </row>
    <row r="179">
      <c r="D179" s="4" t="n"/>
      <c r="K179">
        <f>IFERROR(VLOOKUP($D179,ウルトラ一覧!$A:$L,2,FALSE),"")</f>
        <v/>
      </c>
      <c r="L179">
        <f>IFERROR(VLOOKUP($D179,ウルトラ一覧!$A:$L,3,FALSE),"")</f>
        <v/>
      </c>
      <c r="M179">
        <f>IFERROR(VLOOKUP($D179,ウルトラ一覧!$A:$L,4,FALSE),"")</f>
        <v/>
      </c>
      <c r="N179">
        <f>IFERROR(VLOOKUP($D179,ウルトラ一覧!$A:$L,8,FALSE),"")</f>
        <v/>
      </c>
      <c r="O179">
        <f>IFERROR(VLOOKUP($D179,ウルトラ一覧!$A:$L,9,FALSE),"")</f>
        <v/>
      </c>
      <c r="P179">
        <f>IFERROR(VLOOKUP($D179,ウルトラ一覧!$A:$L,10,FALSE),"")</f>
        <v/>
      </c>
    </row>
    <row r="180">
      <c r="D180" s="4" t="n"/>
      <c r="K180">
        <f>IFERROR(VLOOKUP($D180,ウルトラ一覧!$A:$L,2,FALSE),"")</f>
        <v/>
      </c>
      <c r="L180">
        <f>IFERROR(VLOOKUP($D180,ウルトラ一覧!$A:$L,3,FALSE),"")</f>
        <v/>
      </c>
      <c r="M180">
        <f>IFERROR(VLOOKUP($D180,ウルトラ一覧!$A:$L,4,FALSE),"")</f>
        <v/>
      </c>
      <c r="N180">
        <f>IFERROR(VLOOKUP($D180,ウルトラ一覧!$A:$L,8,FALSE),"")</f>
        <v/>
      </c>
      <c r="O180">
        <f>IFERROR(VLOOKUP($D180,ウルトラ一覧!$A:$L,9,FALSE),"")</f>
        <v/>
      </c>
      <c r="P180">
        <f>IFERROR(VLOOKUP($D180,ウルトラ一覧!$A:$L,10,FALSE),"")</f>
        <v/>
      </c>
    </row>
    <row r="181">
      <c r="D181" s="4" t="n"/>
      <c r="K181">
        <f>IFERROR(VLOOKUP($D181,ウルトラ一覧!$A:$L,2,FALSE),"")</f>
        <v/>
      </c>
      <c r="L181">
        <f>IFERROR(VLOOKUP($D181,ウルトラ一覧!$A:$L,3,FALSE),"")</f>
        <v/>
      </c>
      <c r="M181">
        <f>IFERROR(VLOOKUP($D181,ウルトラ一覧!$A:$L,4,FALSE),"")</f>
        <v/>
      </c>
      <c r="N181">
        <f>IFERROR(VLOOKUP($D181,ウルトラ一覧!$A:$L,8,FALSE),"")</f>
        <v/>
      </c>
      <c r="O181">
        <f>IFERROR(VLOOKUP($D181,ウルトラ一覧!$A:$L,9,FALSE),"")</f>
        <v/>
      </c>
      <c r="P181">
        <f>IFERROR(VLOOKUP($D181,ウルトラ一覧!$A:$L,10,FALSE),"")</f>
        <v/>
      </c>
    </row>
    <row r="182">
      <c r="D182" s="4" t="n"/>
      <c r="K182">
        <f>IFERROR(VLOOKUP($D182,ウルトラ一覧!$A:$L,2,FALSE),"")</f>
        <v/>
      </c>
      <c r="L182">
        <f>IFERROR(VLOOKUP($D182,ウルトラ一覧!$A:$L,3,FALSE),"")</f>
        <v/>
      </c>
      <c r="M182">
        <f>IFERROR(VLOOKUP($D182,ウルトラ一覧!$A:$L,4,FALSE),"")</f>
        <v/>
      </c>
      <c r="N182">
        <f>IFERROR(VLOOKUP($D182,ウルトラ一覧!$A:$L,8,FALSE),"")</f>
        <v/>
      </c>
      <c r="O182">
        <f>IFERROR(VLOOKUP($D182,ウルトラ一覧!$A:$L,9,FALSE),"")</f>
        <v/>
      </c>
      <c r="P182">
        <f>IFERROR(VLOOKUP($D182,ウルトラ一覧!$A:$L,10,FALSE),"")</f>
        <v/>
      </c>
    </row>
    <row r="183">
      <c r="D183" s="4" t="n"/>
      <c r="K183">
        <f>IFERROR(VLOOKUP($D183,ウルトラ一覧!$A:$L,2,FALSE),"")</f>
        <v/>
      </c>
      <c r="L183">
        <f>IFERROR(VLOOKUP($D183,ウルトラ一覧!$A:$L,3,FALSE),"")</f>
        <v/>
      </c>
      <c r="M183">
        <f>IFERROR(VLOOKUP($D183,ウルトラ一覧!$A:$L,4,FALSE),"")</f>
        <v/>
      </c>
      <c r="N183">
        <f>IFERROR(VLOOKUP($D183,ウルトラ一覧!$A:$L,8,FALSE),"")</f>
        <v/>
      </c>
      <c r="O183">
        <f>IFERROR(VLOOKUP($D183,ウルトラ一覧!$A:$L,9,FALSE),"")</f>
        <v/>
      </c>
      <c r="P183">
        <f>IFERROR(VLOOKUP($D183,ウルトラ一覧!$A:$L,10,FALSE),"")</f>
        <v/>
      </c>
    </row>
    <row r="184">
      <c r="D184" s="4" t="n"/>
      <c r="K184">
        <f>IFERROR(VLOOKUP($D184,ウルトラ一覧!$A:$L,2,FALSE),"")</f>
        <v/>
      </c>
      <c r="L184">
        <f>IFERROR(VLOOKUP($D184,ウルトラ一覧!$A:$L,3,FALSE),"")</f>
        <v/>
      </c>
      <c r="M184">
        <f>IFERROR(VLOOKUP($D184,ウルトラ一覧!$A:$L,4,FALSE),"")</f>
        <v/>
      </c>
      <c r="N184">
        <f>IFERROR(VLOOKUP($D184,ウルトラ一覧!$A:$L,8,FALSE),"")</f>
        <v/>
      </c>
      <c r="O184">
        <f>IFERROR(VLOOKUP($D184,ウルトラ一覧!$A:$L,9,FALSE),"")</f>
        <v/>
      </c>
      <c r="P184">
        <f>IFERROR(VLOOKUP($D184,ウルトラ一覧!$A:$L,10,FALSE),"")</f>
        <v/>
      </c>
    </row>
    <row r="185">
      <c r="D185" s="4" t="n"/>
      <c r="K185">
        <f>IFERROR(VLOOKUP($D185,ウルトラ一覧!$A:$L,2,FALSE),"")</f>
        <v/>
      </c>
      <c r="L185">
        <f>IFERROR(VLOOKUP($D185,ウルトラ一覧!$A:$L,3,FALSE),"")</f>
        <v/>
      </c>
      <c r="M185">
        <f>IFERROR(VLOOKUP($D185,ウルトラ一覧!$A:$L,4,FALSE),"")</f>
        <v/>
      </c>
      <c r="N185">
        <f>IFERROR(VLOOKUP($D185,ウルトラ一覧!$A:$L,8,FALSE),"")</f>
        <v/>
      </c>
      <c r="O185">
        <f>IFERROR(VLOOKUP($D185,ウルトラ一覧!$A:$L,9,FALSE),"")</f>
        <v/>
      </c>
      <c r="P185">
        <f>IFERROR(VLOOKUP($D185,ウルトラ一覧!$A:$L,10,FALSE),"")</f>
        <v/>
      </c>
    </row>
    <row r="186">
      <c r="D186" s="4" t="n"/>
      <c r="K186">
        <f>IFERROR(VLOOKUP($D186,ウルトラ一覧!$A:$L,2,FALSE),"")</f>
        <v/>
      </c>
      <c r="L186">
        <f>IFERROR(VLOOKUP($D186,ウルトラ一覧!$A:$L,3,FALSE),"")</f>
        <v/>
      </c>
      <c r="M186">
        <f>IFERROR(VLOOKUP($D186,ウルトラ一覧!$A:$L,4,FALSE),"")</f>
        <v/>
      </c>
      <c r="N186">
        <f>IFERROR(VLOOKUP($D186,ウルトラ一覧!$A:$L,8,FALSE),"")</f>
        <v/>
      </c>
      <c r="O186">
        <f>IFERROR(VLOOKUP($D186,ウルトラ一覧!$A:$L,9,FALSE),"")</f>
        <v/>
      </c>
      <c r="P186">
        <f>IFERROR(VLOOKUP($D186,ウルトラ一覧!$A:$L,10,FALSE),"")</f>
        <v/>
      </c>
    </row>
    <row r="187">
      <c r="D187" s="4" t="n"/>
      <c r="K187">
        <f>IFERROR(VLOOKUP($D187,ウルトラ一覧!$A:$L,2,FALSE),"")</f>
        <v/>
      </c>
      <c r="L187">
        <f>IFERROR(VLOOKUP($D187,ウルトラ一覧!$A:$L,3,FALSE),"")</f>
        <v/>
      </c>
      <c r="M187">
        <f>IFERROR(VLOOKUP($D187,ウルトラ一覧!$A:$L,4,FALSE),"")</f>
        <v/>
      </c>
      <c r="N187">
        <f>IFERROR(VLOOKUP($D187,ウルトラ一覧!$A:$L,8,FALSE),"")</f>
        <v/>
      </c>
      <c r="O187">
        <f>IFERROR(VLOOKUP($D187,ウルトラ一覧!$A:$L,9,FALSE),"")</f>
        <v/>
      </c>
      <c r="P187">
        <f>IFERROR(VLOOKUP($D187,ウルトラ一覧!$A:$L,10,FALSE),"")</f>
        <v/>
      </c>
    </row>
    <row r="188">
      <c r="D188" s="4" t="n"/>
      <c r="K188">
        <f>IFERROR(VLOOKUP($D188,ウルトラ一覧!$A:$L,2,FALSE),"")</f>
        <v/>
      </c>
      <c r="L188">
        <f>IFERROR(VLOOKUP($D188,ウルトラ一覧!$A:$L,3,FALSE),"")</f>
        <v/>
      </c>
      <c r="M188">
        <f>IFERROR(VLOOKUP($D188,ウルトラ一覧!$A:$L,4,FALSE),"")</f>
        <v/>
      </c>
      <c r="N188">
        <f>IFERROR(VLOOKUP($D188,ウルトラ一覧!$A:$L,8,FALSE),"")</f>
        <v/>
      </c>
      <c r="O188">
        <f>IFERROR(VLOOKUP($D188,ウルトラ一覧!$A:$L,9,FALSE),"")</f>
        <v/>
      </c>
      <c r="P188">
        <f>IFERROR(VLOOKUP($D188,ウルトラ一覧!$A:$L,10,FALSE),"")</f>
        <v/>
      </c>
    </row>
    <row r="189">
      <c r="D189" s="4" t="n"/>
      <c r="K189">
        <f>IFERROR(VLOOKUP($D189,ウルトラ一覧!$A:$L,2,FALSE),"")</f>
        <v/>
      </c>
      <c r="L189">
        <f>IFERROR(VLOOKUP($D189,ウルトラ一覧!$A:$L,3,FALSE),"")</f>
        <v/>
      </c>
      <c r="M189">
        <f>IFERROR(VLOOKUP($D189,ウルトラ一覧!$A:$L,4,FALSE),"")</f>
        <v/>
      </c>
      <c r="N189">
        <f>IFERROR(VLOOKUP($D189,ウルトラ一覧!$A:$L,8,FALSE),"")</f>
        <v/>
      </c>
      <c r="O189">
        <f>IFERROR(VLOOKUP($D189,ウルトラ一覧!$A:$L,9,FALSE),"")</f>
        <v/>
      </c>
      <c r="P189">
        <f>IFERROR(VLOOKUP($D189,ウルトラ一覧!$A:$L,10,FALSE),"")</f>
        <v/>
      </c>
    </row>
    <row r="190">
      <c r="D190" s="4" t="n"/>
      <c r="K190">
        <f>IFERROR(VLOOKUP($D190,ウルトラ一覧!$A:$L,2,FALSE),"")</f>
        <v/>
      </c>
      <c r="L190">
        <f>IFERROR(VLOOKUP($D190,ウルトラ一覧!$A:$L,3,FALSE),"")</f>
        <v/>
      </c>
      <c r="M190">
        <f>IFERROR(VLOOKUP($D190,ウルトラ一覧!$A:$L,4,FALSE),"")</f>
        <v/>
      </c>
      <c r="N190">
        <f>IFERROR(VLOOKUP($D190,ウルトラ一覧!$A:$L,8,FALSE),"")</f>
        <v/>
      </c>
      <c r="O190">
        <f>IFERROR(VLOOKUP($D190,ウルトラ一覧!$A:$L,9,FALSE),"")</f>
        <v/>
      </c>
      <c r="P190">
        <f>IFERROR(VLOOKUP($D190,ウルトラ一覧!$A:$L,10,FALSE),"")</f>
        <v/>
      </c>
    </row>
    <row r="191">
      <c r="D191" s="4" t="n"/>
      <c r="K191">
        <f>IFERROR(VLOOKUP($D191,ウルトラ一覧!$A:$L,2,FALSE),"")</f>
        <v/>
      </c>
      <c r="L191">
        <f>IFERROR(VLOOKUP($D191,ウルトラ一覧!$A:$L,3,FALSE),"")</f>
        <v/>
      </c>
      <c r="M191">
        <f>IFERROR(VLOOKUP($D191,ウルトラ一覧!$A:$L,4,FALSE),"")</f>
        <v/>
      </c>
      <c r="N191">
        <f>IFERROR(VLOOKUP($D191,ウルトラ一覧!$A:$L,8,FALSE),"")</f>
        <v/>
      </c>
      <c r="O191">
        <f>IFERROR(VLOOKUP($D191,ウルトラ一覧!$A:$L,9,FALSE),"")</f>
        <v/>
      </c>
      <c r="P191">
        <f>IFERROR(VLOOKUP($D191,ウルトラ一覧!$A:$L,10,FALSE),"")</f>
        <v/>
      </c>
    </row>
    <row r="192">
      <c r="D192" s="4" t="n"/>
      <c r="K192">
        <f>IFERROR(VLOOKUP($D192,ウルトラ一覧!$A:$L,2,FALSE),"")</f>
        <v/>
      </c>
      <c r="L192">
        <f>IFERROR(VLOOKUP($D192,ウルトラ一覧!$A:$L,3,FALSE),"")</f>
        <v/>
      </c>
      <c r="M192">
        <f>IFERROR(VLOOKUP($D192,ウルトラ一覧!$A:$L,4,FALSE),"")</f>
        <v/>
      </c>
      <c r="N192">
        <f>IFERROR(VLOOKUP($D192,ウルトラ一覧!$A:$L,8,FALSE),"")</f>
        <v/>
      </c>
      <c r="O192">
        <f>IFERROR(VLOOKUP($D192,ウルトラ一覧!$A:$L,9,FALSE),"")</f>
        <v/>
      </c>
      <c r="P192">
        <f>IFERROR(VLOOKUP($D192,ウルトラ一覧!$A:$L,10,FALSE),"")</f>
        <v/>
      </c>
    </row>
    <row r="193">
      <c r="D193" s="4" t="n"/>
      <c r="K193">
        <f>IFERROR(VLOOKUP($D193,ウルトラ一覧!$A:$L,2,FALSE),"")</f>
        <v/>
      </c>
      <c r="L193">
        <f>IFERROR(VLOOKUP($D193,ウルトラ一覧!$A:$L,3,FALSE),"")</f>
        <v/>
      </c>
      <c r="M193">
        <f>IFERROR(VLOOKUP($D193,ウルトラ一覧!$A:$L,4,FALSE),"")</f>
        <v/>
      </c>
      <c r="N193">
        <f>IFERROR(VLOOKUP($D193,ウルトラ一覧!$A:$L,8,FALSE),"")</f>
        <v/>
      </c>
      <c r="O193">
        <f>IFERROR(VLOOKUP($D193,ウルトラ一覧!$A:$L,9,FALSE),"")</f>
        <v/>
      </c>
      <c r="P193">
        <f>IFERROR(VLOOKUP($D193,ウルトラ一覧!$A:$L,10,FALSE),"")</f>
        <v/>
      </c>
    </row>
    <row r="194">
      <c r="D194" s="4" t="n"/>
      <c r="K194">
        <f>IFERROR(VLOOKUP($D194,ウルトラ一覧!$A:$L,2,FALSE),"")</f>
        <v/>
      </c>
      <c r="L194">
        <f>IFERROR(VLOOKUP($D194,ウルトラ一覧!$A:$L,3,FALSE),"")</f>
        <v/>
      </c>
      <c r="M194">
        <f>IFERROR(VLOOKUP($D194,ウルトラ一覧!$A:$L,4,FALSE),"")</f>
        <v/>
      </c>
      <c r="N194">
        <f>IFERROR(VLOOKUP($D194,ウルトラ一覧!$A:$L,8,FALSE),"")</f>
        <v/>
      </c>
      <c r="O194">
        <f>IFERROR(VLOOKUP($D194,ウルトラ一覧!$A:$L,9,FALSE),"")</f>
        <v/>
      </c>
      <c r="P194">
        <f>IFERROR(VLOOKUP($D194,ウルトラ一覧!$A:$L,10,FALSE),"")</f>
        <v/>
      </c>
    </row>
    <row r="195">
      <c r="D195" s="4" t="n"/>
      <c r="K195">
        <f>IFERROR(VLOOKUP($D195,ウルトラ一覧!$A:$L,2,FALSE),"")</f>
        <v/>
      </c>
      <c r="L195">
        <f>IFERROR(VLOOKUP($D195,ウルトラ一覧!$A:$L,3,FALSE),"")</f>
        <v/>
      </c>
      <c r="M195">
        <f>IFERROR(VLOOKUP($D195,ウルトラ一覧!$A:$L,4,FALSE),"")</f>
        <v/>
      </c>
      <c r="N195">
        <f>IFERROR(VLOOKUP($D195,ウルトラ一覧!$A:$L,8,FALSE),"")</f>
        <v/>
      </c>
      <c r="O195">
        <f>IFERROR(VLOOKUP($D195,ウルトラ一覧!$A:$L,9,FALSE),"")</f>
        <v/>
      </c>
      <c r="P195">
        <f>IFERROR(VLOOKUP($D195,ウルトラ一覧!$A:$L,10,FALSE),"")</f>
        <v/>
      </c>
    </row>
    <row r="196">
      <c r="D196" s="4" t="n"/>
      <c r="K196">
        <f>IFERROR(VLOOKUP($D196,ウルトラ一覧!$A:$L,2,FALSE),"")</f>
        <v/>
      </c>
      <c r="L196">
        <f>IFERROR(VLOOKUP($D196,ウルトラ一覧!$A:$L,3,FALSE),"")</f>
        <v/>
      </c>
      <c r="M196">
        <f>IFERROR(VLOOKUP($D196,ウルトラ一覧!$A:$L,4,FALSE),"")</f>
        <v/>
      </c>
      <c r="N196">
        <f>IFERROR(VLOOKUP($D196,ウルトラ一覧!$A:$L,8,FALSE),"")</f>
        <v/>
      </c>
      <c r="O196">
        <f>IFERROR(VLOOKUP($D196,ウルトラ一覧!$A:$L,9,FALSE),"")</f>
        <v/>
      </c>
      <c r="P196">
        <f>IFERROR(VLOOKUP($D196,ウルトラ一覧!$A:$L,10,FALSE),"")</f>
        <v/>
      </c>
    </row>
    <row r="197">
      <c r="D197" s="4" t="n"/>
      <c r="K197">
        <f>IFERROR(VLOOKUP($D197,ウルトラ一覧!$A:$L,2,FALSE),"")</f>
        <v/>
      </c>
      <c r="L197">
        <f>IFERROR(VLOOKUP($D197,ウルトラ一覧!$A:$L,3,FALSE),"")</f>
        <v/>
      </c>
      <c r="M197">
        <f>IFERROR(VLOOKUP($D197,ウルトラ一覧!$A:$L,4,FALSE),"")</f>
        <v/>
      </c>
      <c r="N197">
        <f>IFERROR(VLOOKUP($D197,ウルトラ一覧!$A:$L,8,FALSE),"")</f>
        <v/>
      </c>
      <c r="O197">
        <f>IFERROR(VLOOKUP($D197,ウルトラ一覧!$A:$L,9,FALSE),"")</f>
        <v/>
      </c>
      <c r="P197">
        <f>IFERROR(VLOOKUP($D197,ウルトラ一覧!$A:$L,10,FALSE),"")</f>
        <v/>
      </c>
    </row>
    <row r="198">
      <c r="D198" s="4" t="n"/>
      <c r="K198">
        <f>IFERROR(VLOOKUP($D198,ウルトラ一覧!$A:$L,2,FALSE),"")</f>
        <v/>
      </c>
      <c r="L198">
        <f>IFERROR(VLOOKUP($D198,ウルトラ一覧!$A:$L,3,FALSE),"")</f>
        <v/>
      </c>
      <c r="M198">
        <f>IFERROR(VLOOKUP($D198,ウルトラ一覧!$A:$L,4,FALSE),"")</f>
        <v/>
      </c>
      <c r="N198">
        <f>IFERROR(VLOOKUP($D198,ウルトラ一覧!$A:$L,8,FALSE),"")</f>
        <v/>
      </c>
      <c r="O198">
        <f>IFERROR(VLOOKUP($D198,ウルトラ一覧!$A:$L,9,FALSE),"")</f>
        <v/>
      </c>
      <c r="P198">
        <f>IFERROR(VLOOKUP($D198,ウルトラ一覧!$A:$L,10,FALSE),"")</f>
        <v/>
      </c>
    </row>
    <row r="199">
      <c r="D199" s="4" t="n"/>
      <c r="K199">
        <f>IFERROR(VLOOKUP($D199,ウルトラ一覧!$A:$L,2,FALSE),"")</f>
        <v/>
      </c>
      <c r="L199">
        <f>IFERROR(VLOOKUP($D199,ウルトラ一覧!$A:$L,3,FALSE),"")</f>
        <v/>
      </c>
      <c r="M199">
        <f>IFERROR(VLOOKUP($D199,ウルトラ一覧!$A:$L,4,FALSE),"")</f>
        <v/>
      </c>
      <c r="N199">
        <f>IFERROR(VLOOKUP($D199,ウルトラ一覧!$A:$L,8,FALSE),"")</f>
        <v/>
      </c>
      <c r="O199">
        <f>IFERROR(VLOOKUP($D199,ウルトラ一覧!$A:$L,9,FALSE),"")</f>
        <v/>
      </c>
      <c r="P199">
        <f>IFERROR(VLOOKUP($D199,ウルトラ一覧!$A:$L,10,FALSE),"")</f>
        <v/>
      </c>
    </row>
    <row r="200">
      <c r="D200" s="4" t="n"/>
      <c r="K200">
        <f>IFERROR(VLOOKUP($D200,ウルトラ一覧!$A:$L,2,FALSE),"")</f>
        <v/>
      </c>
      <c r="L200">
        <f>IFERROR(VLOOKUP($D200,ウルトラ一覧!$A:$L,3,FALSE),"")</f>
        <v/>
      </c>
      <c r="M200">
        <f>IFERROR(VLOOKUP($D200,ウルトラ一覧!$A:$L,4,FALSE),"")</f>
        <v/>
      </c>
      <c r="N200">
        <f>IFERROR(VLOOKUP($D200,ウルトラ一覧!$A:$L,8,FALSE),"")</f>
        <v/>
      </c>
      <c r="O200">
        <f>IFERROR(VLOOKUP($D200,ウルトラ一覧!$A:$L,9,FALSE),"")</f>
        <v/>
      </c>
      <c r="P200">
        <f>IFERROR(VLOOKUP($D200,ウルトラ一覧!$A:$L,10,FALSE),"")</f>
        <v/>
      </c>
    </row>
    <row r="201">
      <c r="D201" s="4" t="n"/>
      <c r="K201">
        <f>IFERROR(VLOOKUP($D201,ウルトラ一覧!$A:$L,2,FALSE),"")</f>
        <v/>
      </c>
      <c r="L201">
        <f>IFERROR(VLOOKUP($D201,ウルトラ一覧!$A:$L,3,FALSE),"")</f>
        <v/>
      </c>
      <c r="M201">
        <f>IFERROR(VLOOKUP($D201,ウルトラ一覧!$A:$L,4,FALSE),"")</f>
        <v/>
      </c>
      <c r="N201">
        <f>IFERROR(VLOOKUP($D201,ウルトラ一覧!$A:$L,8,FALSE),"")</f>
        <v/>
      </c>
      <c r="O201">
        <f>IFERROR(VLOOKUP($D201,ウルトラ一覧!$A:$L,9,FALSE),"")</f>
        <v/>
      </c>
      <c r="P201">
        <f>IFERROR(VLOOKUP($D201,ウルトラ一覧!$A:$L,10,FALSE),"")</f>
        <v/>
      </c>
    </row>
    <row r="202">
      <c r="D202" s="4" t="n"/>
      <c r="K202">
        <f>IFERROR(VLOOKUP($D202,ウルトラ一覧!$A:$L,2,FALSE),"")</f>
        <v/>
      </c>
      <c r="L202">
        <f>IFERROR(VLOOKUP($D202,ウルトラ一覧!$A:$L,3,FALSE),"")</f>
        <v/>
      </c>
      <c r="M202">
        <f>IFERROR(VLOOKUP($D202,ウルトラ一覧!$A:$L,4,FALSE),"")</f>
        <v/>
      </c>
      <c r="N202">
        <f>IFERROR(VLOOKUP($D202,ウルトラ一覧!$A:$L,8,FALSE),"")</f>
        <v/>
      </c>
      <c r="O202">
        <f>IFERROR(VLOOKUP($D202,ウルトラ一覧!$A:$L,9,FALSE),"")</f>
        <v/>
      </c>
      <c r="P202">
        <f>IFERROR(VLOOKUP($D202,ウルトラ一覧!$A:$L,10,FALSE),"")</f>
        <v/>
      </c>
    </row>
    <row r="203">
      <c r="D203" s="4" t="n"/>
      <c r="K203">
        <f>IFERROR(VLOOKUP($D203,ウルトラ一覧!$A:$L,2,FALSE),"")</f>
        <v/>
      </c>
      <c r="L203">
        <f>IFERROR(VLOOKUP($D203,ウルトラ一覧!$A:$L,3,FALSE),"")</f>
        <v/>
      </c>
      <c r="M203">
        <f>IFERROR(VLOOKUP($D203,ウルトラ一覧!$A:$L,4,FALSE),"")</f>
        <v/>
      </c>
      <c r="N203">
        <f>IFERROR(VLOOKUP($D203,ウルトラ一覧!$A:$L,8,FALSE),"")</f>
        <v/>
      </c>
      <c r="O203">
        <f>IFERROR(VLOOKUP($D203,ウルトラ一覧!$A:$L,9,FALSE),"")</f>
        <v/>
      </c>
      <c r="P203">
        <f>IFERROR(VLOOKUP($D203,ウルトラ一覧!$A:$L,10,FALSE),"")</f>
        <v/>
      </c>
    </row>
    <row r="204">
      <c r="D204" s="4" t="n"/>
      <c r="K204">
        <f>IFERROR(VLOOKUP($D204,ウルトラ一覧!$A:$L,2,FALSE),"")</f>
        <v/>
      </c>
      <c r="L204">
        <f>IFERROR(VLOOKUP($D204,ウルトラ一覧!$A:$L,3,FALSE),"")</f>
        <v/>
      </c>
      <c r="M204">
        <f>IFERROR(VLOOKUP($D204,ウルトラ一覧!$A:$L,4,FALSE),"")</f>
        <v/>
      </c>
      <c r="N204">
        <f>IFERROR(VLOOKUP($D204,ウルトラ一覧!$A:$L,8,FALSE),"")</f>
        <v/>
      </c>
      <c r="O204">
        <f>IFERROR(VLOOKUP($D204,ウルトラ一覧!$A:$L,9,FALSE),"")</f>
        <v/>
      </c>
      <c r="P204">
        <f>IFERROR(VLOOKUP($D204,ウルトラ一覧!$A:$L,10,FALSE),"")</f>
        <v/>
      </c>
    </row>
    <row r="205">
      <c r="D205" s="4" t="n"/>
      <c r="K205">
        <f>IFERROR(VLOOKUP($D205,ウルトラ一覧!$A:$L,2,FALSE),"")</f>
        <v/>
      </c>
      <c r="L205">
        <f>IFERROR(VLOOKUP($D205,ウルトラ一覧!$A:$L,3,FALSE),"")</f>
        <v/>
      </c>
      <c r="M205">
        <f>IFERROR(VLOOKUP($D205,ウルトラ一覧!$A:$L,4,FALSE),"")</f>
        <v/>
      </c>
      <c r="N205">
        <f>IFERROR(VLOOKUP($D205,ウルトラ一覧!$A:$L,8,FALSE),"")</f>
        <v/>
      </c>
      <c r="O205">
        <f>IFERROR(VLOOKUP($D205,ウルトラ一覧!$A:$L,9,FALSE),"")</f>
        <v/>
      </c>
      <c r="P205">
        <f>IFERROR(VLOOKUP($D205,ウルトラ一覧!$A:$L,10,FALSE),"")</f>
        <v/>
      </c>
    </row>
    <row r="206">
      <c r="D206" s="4" t="n"/>
      <c r="K206">
        <f>IFERROR(VLOOKUP($D206,ウルトラ一覧!$A:$L,2,FALSE),"")</f>
        <v/>
      </c>
      <c r="L206">
        <f>IFERROR(VLOOKUP($D206,ウルトラ一覧!$A:$L,3,FALSE),"")</f>
        <v/>
      </c>
      <c r="M206">
        <f>IFERROR(VLOOKUP($D206,ウルトラ一覧!$A:$L,4,FALSE),"")</f>
        <v/>
      </c>
      <c r="N206">
        <f>IFERROR(VLOOKUP($D206,ウルトラ一覧!$A:$L,8,FALSE),"")</f>
        <v/>
      </c>
      <c r="O206">
        <f>IFERROR(VLOOKUP($D206,ウルトラ一覧!$A:$L,9,FALSE),"")</f>
        <v/>
      </c>
      <c r="P206">
        <f>IFERROR(VLOOKUP($D206,ウルトラ一覧!$A:$L,10,FALSE),"")</f>
        <v/>
      </c>
    </row>
    <row r="207">
      <c r="D207" s="4" t="n"/>
      <c r="K207">
        <f>IFERROR(VLOOKUP($D207,ウルトラ一覧!$A:$L,2,FALSE),"")</f>
        <v/>
      </c>
      <c r="L207">
        <f>IFERROR(VLOOKUP($D207,ウルトラ一覧!$A:$L,3,FALSE),"")</f>
        <v/>
      </c>
      <c r="M207">
        <f>IFERROR(VLOOKUP($D207,ウルトラ一覧!$A:$L,4,FALSE),"")</f>
        <v/>
      </c>
      <c r="N207">
        <f>IFERROR(VLOOKUP($D207,ウルトラ一覧!$A:$L,8,FALSE),"")</f>
        <v/>
      </c>
      <c r="O207">
        <f>IFERROR(VLOOKUP($D207,ウルトラ一覧!$A:$L,9,FALSE),"")</f>
        <v/>
      </c>
      <c r="P207">
        <f>IFERROR(VLOOKUP($D207,ウルトラ一覧!$A:$L,10,FALSE),"")</f>
        <v/>
      </c>
    </row>
    <row r="208">
      <c r="D208" s="4" t="n"/>
      <c r="K208">
        <f>IFERROR(VLOOKUP($D208,ウルトラ一覧!$A:$L,2,FALSE),"")</f>
        <v/>
      </c>
      <c r="L208">
        <f>IFERROR(VLOOKUP($D208,ウルトラ一覧!$A:$L,3,FALSE),"")</f>
        <v/>
      </c>
      <c r="M208">
        <f>IFERROR(VLOOKUP($D208,ウルトラ一覧!$A:$L,4,FALSE),"")</f>
        <v/>
      </c>
      <c r="N208">
        <f>IFERROR(VLOOKUP($D208,ウルトラ一覧!$A:$L,8,FALSE),"")</f>
        <v/>
      </c>
      <c r="O208">
        <f>IFERROR(VLOOKUP($D208,ウルトラ一覧!$A:$L,9,FALSE),"")</f>
        <v/>
      </c>
      <c r="P208">
        <f>IFERROR(VLOOKUP($D208,ウルトラ一覧!$A:$L,10,FALSE),"")</f>
        <v/>
      </c>
    </row>
    <row r="209">
      <c r="D209" s="4" t="n"/>
      <c r="K209">
        <f>IFERROR(VLOOKUP($D209,ウルトラ一覧!$A:$L,2,FALSE),"")</f>
        <v/>
      </c>
      <c r="L209">
        <f>IFERROR(VLOOKUP($D209,ウルトラ一覧!$A:$L,3,FALSE),"")</f>
        <v/>
      </c>
      <c r="M209">
        <f>IFERROR(VLOOKUP($D209,ウルトラ一覧!$A:$L,4,FALSE),"")</f>
        <v/>
      </c>
      <c r="N209">
        <f>IFERROR(VLOOKUP($D209,ウルトラ一覧!$A:$L,8,FALSE),"")</f>
        <v/>
      </c>
      <c r="O209">
        <f>IFERROR(VLOOKUP($D209,ウルトラ一覧!$A:$L,9,FALSE),"")</f>
        <v/>
      </c>
      <c r="P209">
        <f>IFERROR(VLOOKUP($D209,ウルトラ一覧!$A:$L,10,FALSE),"")</f>
        <v/>
      </c>
    </row>
    <row r="210">
      <c r="D210" s="4" t="n"/>
      <c r="K210">
        <f>IFERROR(VLOOKUP($D210,ウルトラ一覧!$A:$L,2,FALSE),"")</f>
        <v/>
      </c>
      <c r="L210">
        <f>IFERROR(VLOOKUP($D210,ウルトラ一覧!$A:$L,3,FALSE),"")</f>
        <v/>
      </c>
      <c r="M210">
        <f>IFERROR(VLOOKUP($D210,ウルトラ一覧!$A:$L,4,FALSE),"")</f>
        <v/>
      </c>
      <c r="N210">
        <f>IFERROR(VLOOKUP($D210,ウルトラ一覧!$A:$L,8,FALSE),"")</f>
        <v/>
      </c>
      <c r="O210">
        <f>IFERROR(VLOOKUP($D210,ウルトラ一覧!$A:$L,9,FALSE),"")</f>
        <v/>
      </c>
      <c r="P210">
        <f>IFERROR(VLOOKUP($D210,ウルトラ一覧!$A:$L,10,FALSE),"")</f>
        <v/>
      </c>
    </row>
    <row r="211">
      <c r="D211" s="4" t="n"/>
      <c r="K211">
        <f>IFERROR(VLOOKUP($D211,ウルトラ一覧!$A:$L,2,FALSE),"")</f>
        <v/>
      </c>
      <c r="L211">
        <f>IFERROR(VLOOKUP($D211,ウルトラ一覧!$A:$L,3,FALSE),"")</f>
        <v/>
      </c>
      <c r="M211">
        <f>IFERROR(VLOOKUP($D211,ウルトラ一覧!$A:$L,4,FALSE),"")</f>
        <v/>
      </c>
      <c r="N211">
        <f>IFERROR(VLOOKUP($D211,ウルトラ一覧!$A:$L,8,FALSE),"")</f>
        <v/>
      </c>
      <c r="O211">
        <f>IFERROR(VLOOKUP($D211,ウルトラ一覧!$A:$L,9,FALSE),"")</f>
        <v/>
      </c>
      <c r="P211">
        <f>IFERROR(VLOOKUP($D211,ウルトラ一覧!$A:$L,10,FALSE),"")</f>
        <v/>
      </c>
    </row>
    <row r="212">
      <c r="D212" s="4" t="n"/>
      <c r="K212">
        <f>IFERROR(VLOOKUP($D212,ウルトラ一覧!$A:$L,2,FALSE),"")</f>
        <v/>
      </c>
      <c r="L212">
        <f>IFERROR(VLOOKUP($D212,ウルトラ一覧!$A:$L,3,FALSE),"")</f>
        <v/>
      </c>
      <c r="M212">
        <f>IFERROR(VLOOKUP($D212,ウルトラ一覧!$A:$L,4,FALSE),"")</f>
        <v/>
      </c>
      <c r="N212">
        <f>IFERROR(VLOOKUP($D212,ウルトラ一覧!$A:$L,8,FALSE),"")</f>
        <v/>
      </c>
      <c r="O212">
        <f>IFERROR(VLOOKUP($D212,ウルトラ一覧!$A:$L,9,FALSE),"")</f>
        <v/>
      </c>
      <c r="P212">
        <f>IFERROR(VLOOKUP($D212,ウルトラ一覧!$A:$L,10,FALSE),"")</f>
        <v/>
      </c>
    </row>
    <row r="213">
      <c r="D213" s="4" t="n"/>
      <c r="K213">
        <f>IFERROR(VLOOKUP($D213,ウルトラ一覧!$A:$L,2,FALSE),"")</f>
        <v/>
      </c>
      <c r="L213">
        <f>IFERROR(VLOOKUP($D213,ウルトラ一覧!$A:$L,3,FALSE),"")</f>
        <v/>
      </c>
      <c r="M213">
        <f>IFERROR(VLOOKUP($D213,ウルトラ一覧!$A:$L,4,FALSE),"")</f>
        <v/>
      </c>
      <c r="N213">
        <f>IFERROR(VLOOKUP($D213,ウルトラ一覧!$A:$L,8,FALSE),"")</f>
        <v/>
      </c>
      <c r="O213">
        <f>IFERROR(VLOOKUP($D213,ウルトラ一覧!$A:$L,9,FALSE),"")</f>
        <v/>
      </c>
      <c r="P213">
        <f>IFERROR(VLOOKUP($D213,ウルトラ一覧!$A:$L,10,FALSE),"")</f>
        <v/>
      </c>
    </row>
    <row r="214">
      <c r="D214" s="4" t="n"/>
      <c r="K214">
        <f>IFERROR(VLOOKUP($D214,ウルトラ一覧!$A:$L,2,FALSE),"")</f>
        <v/>
      </c>
      <c r="L214">
        <f>IFERROR(VLOOKUP($D214,ウルトラ一覧!$A:$L,3,FALSE),"")</f>
        <v/>
      </c>
      <c r="M214">
        <f>IFERROR(VLOOKUP($D214,ウルトラ一覧!$A:$L,4,FALSE),"")</f>
        <v/>
      </c>
      <c r="N214">
        <f>IFERROR(VLOOKUP($D214,ウルトラ一覧!$A:$L,8,FALSE),"")</f>
        <v/>
      </c>
      <c r="O214">
        <f>IFERROR(VLOOKUP($D214,ウルトラ一覧!$A:$L,9,FALSE),"")</f>
        <v/>
      </c>
      <c r="P214">
        <f>IFERROR(VLOOKUP($D214,ウルトラ一覧!$A:$L,10,FALSE),"")</f>
        <v/>
      </c>
    </row>
    <row r="215">
      <c r="D215" s="4" t="n"/>
      <c r="K215">
        <f>IFERROR(VLOOKUP($D215,ウルトラ一覧!$A:$L,2,FALSE),"")</f>
        <v/>
      </c>
      <c r="L215">
        <f>IFERROR(VLOOKUP($D215,ウルトラ一覧!$A:$L,3,FALSE),"")</f>
        <v/>
      </c>
      <c r="M215">
        <f>IFERROR(VLOOKUP($D215,ウルトラ一覧!$A:$L,4,FALSE),"")</f>
        <v/>
      </c>
      <c r="N215">
        <f>IFERROR(VLOOKUP($D215,ウルトラ一覧!$A:$L,8,FALSE),"")</f>
        <v/>
      </c>
      <c r="O215">
        <f>IFERROR(VLOOKUP($D215,ウルトラ一覧!$A:$L,9,FALSE),"")</f>
        <v/>
      </c>
      <c r="P215">
        <f>IFERROR(VLOOKUP($D215,ウルトラ一覧!$A:$L,10,FALSE),"")</f>
        <v/>
      </c>
    </row>
    <row r="216">
      <c r="D216" s="4" t="n"/>
      <c r="K216">
        <f>IFERROR(VLOOKUP($D216,ウルトラ一覧!$A:$L,2,FALSE),"")</f>
        <v/>
      </c>
      <c r="L216">
        <f>IFERROR(VLOOKUP($D216,ウルトラ一覧!$A:$L,3,FALSE),"")</f>
        <v/>
      </c>
      <c r="M216">
        <f>IFERROR(VLOOKUP($D216,ウルトラ一覧!$A:$L,4,FALSE),"")</f>
        <v/>
      </c>
      <c r="N216">
        <f>IFERROR(VLOOKUP($D216,ウルトラ一覧!$A:$L,8,FALSE),"")</f>
        <v/>
      </c>
      <c r="O216">
        <f>IFERROR(VLOOKUP($D216,ウルトラ一覧!$A:$L,9,FALSE),"")</f>
        <v/>
      </c>
      <c r="P216">
        <f>IFERROR(VLOOKUP($D216,ウルトラ一覧!$A:$L,10,FALSE),"")</f>
        <v/>
      </c>
    </row>
    <row r="217">
      <c r="D217" s="4" t="n"/>
      <c r="K217">
        <f>IFERROR(VLOOKUP($D217,ウルトラ一覧!$A:$L,2,FALSE),"")</f>
        <v/>
      </c>
      <c r="L217">
        <f>IFERROR(VLOOKUP($D217,ウルトラ一覧!$A:$L,3,FALSE),"")</f>
        <v/>
      </c>
      <c r="M217">
        <f>IFERROR(VLOOKUP($D217,ウルトラ一覧!$A:$L,4,FALSE),"")</f>
        <v/>
      </c>
      <c r="N217">
        <f>IFERROR(VLOOKUP($D217,ウルトラ一覧!$A:$L,8,FALSE),"")</f>
        <v/>
      </c>
      <c r="O217">
        <f>IFERROR(VLOOKUP($D217,ウルトラ一覧!$A:$L,9,FALSE),"")</f>
        <v/>
      </c>
      <c r="P217">
        <f>IFERROR(VLOOKUP($D217,ウルトラ一覧!$A:$L,10,FALSE),"")</f>
        <v/>
      </c>
    </row>
    <row r="218">
      <c r="D218" s="4" t="n"/>
      <c r="K218">
        <f>IFERROR(VLOOKUP($D218,ウルトラ一覧!$A:$L,2,FALSE),"")</f>
        <v/>
      </c>
      <c r="L218">
        <f>IFERROR(VLOOKUP($D218,ウルトラ一覧!$A:$L,3,FALSE),"")</f>
        <v/>
      </c>
      <c r="M218">
        <f>IFERROR(VLOOKUP($D218,ウルトラ一覧!$A:$L,4,FALSE),"")</f>
        <v/>
      </c>
      <c r="N218">
        <f>IFERROR(VLOOKUP($D218,ウルトラ一覧!$A:$L,8,FALSE),"")</f>
        <v/>
      </c>
      <c r="O218">
        <f>IFERROR(VLOOKUP($D218,ウルトラ一覧!$A:$L,9,FALSE),"")</f>
        <v/>
      </c>
      <c r="P218">
        <f>IFERROR(VLOOKUP($D218,ウルトラ一覧!$A:$L,10,FALSE),"")</f>
        <v/>
      </c>
    </row>
    <row r="219">
      <c r="D219" s="4" t="n"/>
      <c r="K219">
        <f>IFERROR(VLOOKUP($D219,ウルトラ一覧!$A:$L,2,FALSE),"")</f>
        <v/>
      </c>
      <c r="L219">
        <f>IFERROR(VLOOKUP($D219,ウルトラ一覧!$A:$L,3,FALSE),"")</f>
        <v/>
      </c>
      <c r="M219">
        <f>IFERROR(VLOOKUP($D219,ウルトラ一覧!$A:$L,4,FALSE),"")</f>
        <v/>
      </c>
      <c r="N219">
        <f>IFERROR(VLOOKUP($D219,ウルトラ一覧!$A:$L,8,FALSE),"")</f>
        <v/>
      </c>
      <c r="O219">
        <f>IFERROR(VLOOKUP($D219,ウルトラ一覧!$A:$L,9,FALSE),"")</f>
        <v/>
      </c>
      <c r="P219">
        <f>IFERROR(VLOOKUP($D219,ウルトラ一覧!$A:$L,10,FALSE),"")</f>
        <v/>
      </c>
    </row>
    <row r="220">
      <c r="D220" s="4" t="n"/>
      <c r="K220">
        <f>IFERROR(VLOOKUP($D220,ウルトラ一覧!$A:$L,2,FALSE),"")</f>
        <v/>
      </c>
      <c r="L220">
        <f>IFERROR(VLOOKUP($D220,ウルトラ一覧!$A:$L,3,FALSE),"")</f>
        <v/>
      </c>
      <c r="M220">
        <f>IFERROR(VLOOKUP($D220,ウルトラ一覧!$A:$L,4,FALSE),"")</f>
        <v/>
      </c>
      <c r="N220">
        <f>IFERROR(VLOOKUP($D220,ウルトラ一覧!$A:$L,8,FALSE),"")</f>
        <v/>
      </c>
      <c r="O220">
        <f>IFERROR(VLOOKUP($D220,ウルトラ一覧!$A:$L,9,FALSE),"")</f>
        <v/>
      </c>
      <c r="P220">
        <f>IFERROR(VLOOKUP($D220,ウルトラ一覧!$A:$L,10,FALSE),"")</f>
        <v/>
      </c>
    </row>
    <row r="221">
      <c r="D221" s="4" t="n"/>
      <c r="K221">
        <f>IFERROR(VLOOKUP($D221,ウルトラ一覧!$A:$L,2,FALSE),"")</f>
        <v/>
      </c>
      <c r="L221">
        <f>IFERROR(VLOOKUP($D221,ウルトラ一覧!$A:$L,3,FALSE),"")</f>
        <v/>
      </c>
      <c r="M221">
        <f>IFERROR(VLOOKUP($D221,ウルトラ一覧!$A:$L,4,FALSE),"")</f>
        <v/>
      </c>
      <c r="N221">
        <f>IFERROR(VLOOKUP($D221,ウルトラ一覧!$A:$L,8,FALSE),"")</f>
        <v/>
      </c>
      <c r="O221">
        <f>IFERROR(VLOOKUP($D221,ウルトラ一覧!$A:$L,9,FALSE),"")</f>
        <v/>
      </c>
      <c r="P221">
        <f>IFERROR(VLOOKUP($D221,ウルトラ一覧!$A:$L,10,FALSE),"")</f>
        <v/>
      </c>
    </row>
    <row r="222">
      <c r="D222" s="4" t="n"/>
      <c r="K222">
        <f>IFERROR(VLOOKUP($D222,ウルトラ一覧!$A:$L,2,FALSE),"")</f>
        <v/>
      </c>
      <c r="L222">
        <f>IFERROR(VLOOKUP($D222,ウルトラ一覧!$A:$L,3,FALSE),"")</f>
        <v/>
      </c>
      <c r="M222">
        <f>IFERROR(VLOOKUP($D222,ウルトラ一覧!$A:$L,4,FALSE),"")</f>
        <v/>
      </c>
      <c r="N222">
        <f>IFERROR(VLOOKUP($D222,ウルトラ一覧!$A:$L,8,FALSE),"")</f>
        <v/>
      </c>
      <c r="O222">
        <f>IFERROR(VLOOKUP($D222,ウルトラ一覧!$A:$L,9,FALSE),"")</f>
        <v/>
      </c>
      <c r="P222">
        <f>IFERROR(VLOOKUP($D222,ウルトラ一覧!$A:$L,10,FALSE),"")</f>
        <v/>
      </c>
    </row>
    <row r="223">
      <c r="D223" s="4" t="n"/>
      <c r="K223">
        <f>IFERROR(VLOOKUP($D223,ウルトラ一覧!$A:$L,2,FALSE),"")</f>
        <v/>
      </c>
      <c r="L223">
        <f>IFERROR(VLOOKUP($D223,ウルトラ一覧!$A:$L,3,FALSE),"")</f>
        <v/>
      </c>
      <c r="M223">
        <f>IFERROR(VLOOKUP($D223,ウルトラ一覧!$A:$L,4,FALSE),"")</f>
        <v/>
      </c>
      <c r="N223">
        <f>IFERROR(VLOOKUP($D223,ウルトラ一覧!$A:$L,8,FALSE),"")</f>
        <v/>
      </c>
      <c r="O223">
        <f>IFERROR(VLOOKUP($D223,ウルトラ一覧!$A:$L,9,FALSE),"")</f>
        <v/>
      </c>
      <c r="P223">
        <f>IFERROR(VLOOKUP($D223,ウルトラ一覧!$A:$L,10,FALSE),"")</f>
        <v/>
      </c>
    </row>
    <row r="224">
      <c r="D224" s="4" t="n"/>
      <c r="K224">
        <f>IFERROR(VLOOKUP($D224,ウルトラ一覧!$A:$L,2,FALSE),"")</f>
        <v/>
      </c>
      <c r="L224">
        <f>IFERROR(VLOOKUP($D224,ウルトラ一覧!$A:$L,3,FALSE),"")</f>
        <v/>
      </c>
      <c r="M224">
        <f>IFERROR(VLOOKUP($D224,ウルトラ一覧!$A:$L,4,FALSE),"")</f>
        <v/>
      </c>
      <c r="N224">
        <f>IFERROR(VLOOKUP($D224,ウルトラ一覧!$A:$L,8,FALSE),"")</f>
        <v/>
      </c>
      <c r="O224">
        <f>IFERROR(VLOOKUP($D224,ウルトラ一覧!$A:$L,9,FALSE),"")</f>
        <v/>
      </c>
      <c r="P224">
        <f>IFERROR(VLOOKUP($D224,ウルトラ一覧!$A:$L,10,FALSE),"")</f>
        <v/>
      </c>
    </row>
    <row r="225">
      <c r="D225" s="4" t="n"/>
      <c r="K225">
        <f>IFERROR(VLOOKUP($D225,ウルトラ一覧!$A:$L,2,FALSE),"")</f>
        <v/>
      </c>
      <c r="L225">
        <f>IFERROR(VLOOKUP($D225,ウルトラ一覧!$A:$L,3,FALSE),"")</f>
        <v/>
      </c>
      <c r="M225">
        <f>IFERROR(VLOOKUP($D225,ウルトラ一覧!$A:$L,4,FALSE),"")</f>
        <v/>
      </c>
      <c r="N225">
        <f>IFERROR(VLOOKUP($D225,ウルトラ一覧!$A:$L,8,FALSE),"")</f>
        <v/>
      </c>
      <c r="O225">
        <f>IFERROR(VLOOKUP($D225,ウルトラ一覧!$A:$L,9,FALSE),"")</f>
        <v/>
      </c>
      <c r="P225">
        <f>IFERROR(VLOOKUP($D225,ウルトラ一覧!$A:$L,10,FALSE),"")</f>
        <v/>
      </c>
    </row>
    <row r="226">
      <c r="D226" s="4" t="n"/>
      <c r="K226">
        <f>IFERROR(VLOOKUP($D226,ウルトラ一覧!$A:$L,2,FALSE),"")</f>
        <v/>
      </c>
      <c r="L226">
        <f>IFERROR(VLOOKUP($D226,ウルトラ一覧!$A:$L,3,FALSE),"")</f>
        <v/>
      </c>
      <c r="M226">
        <f>IFERROR(VLOOKUP($D226,ウルトラ一覧!$A:$L,4,FALSE),"")</f>
        <v/>
      </c>
      <c r="N226">
        <f>IFERROR(VLOOKUP($D226,ウルトラ一覧!$A:$L,8,FALSE),"")</f>
        <v/>
      </c>
      <c r="O226">
        <f>IFERROR(VLOOKUP($D226,ウルトラ一覧!$A:$L,9,FALSE),"")</f>
        <v/>
      </c>
      <c r="P226">
        <f>IFERROR(VLOOKUP($D226,ウルトラ一覧!$A:$L,10,FALSE),"")</f>
        <v/>
      </c>
    </row>
    <row r="227">
      <c r="D227" s="4" t="n"/>
      <c r="K227">
        <f>IFERROR(VLOOKUP($D227,ウルトラ一覧!$A:$L,2,FALSE),"")</f>
        <v/>
      </c>
      <c r="L227">
        <f>IFERROR(VLOOKUP($D227,ウルトラ一覧!$A:$L,3,FALSE),"")</f>
        <v/>
      </c>
      <c r="M227">
        <f>IFERROR(VLOOKUP($D227,ウルトラ一覧!$A:$L,4,FALSE),"")</f>
        <v/>
      </c>
      <c r="N227">
        <f>IFERROR(VLOOKUP($D227,ウルトラ一覧!$A:$L,8,FALSE),"")</f>
        <v/>
      </c>
      <c r="O227">
        <f>IFERROR(VLOOKUP($D227,ウルトラ一覧!$A:$L,9,FALSE),"")</f>
        <v/>
      </c>
      <c r="P227">
        <f>IFERROR(VLOOKUP($D227,ウルトラ一覧!$A:$L,10,FALSE),"")</f>
        <v/>
      </c>
    </row>
    <row r="228">
      <c r="D228" s="4" t="n"/>
      <c r="K228">
        <f>IFERROR(VLOOKUP($D228,ウルトラ一覧!$A:$L,2,FALSE),"")</f>
        <v/>
      </c>
      <c r="L228">
        <f>IFERROR(VLOOKUP($D228,ウルトラ一覧!$A:$L,3,FALSE),"")</f>
        <v/>
      </c>
      <c r="M228">
        <f>IFERROR(VLOOKUP($D228,ウルトラ一覧!$A:$L,4,FALSE),"")</f>
        <v/>
      </c>
      <c r="N228">
        <f>IFERROR(VLOOKUP($D228,ウルトラ一覧!$A:$L,8,FALSE),"")</f>
        <v/>
      </c>
      <c r="O228">
        <f>IFERROR(VLOOKUP($D228,ウルトラ一覧!$A:$L,9,FALSE),"")</f>
        <v/>
      </c>
      <c r="P228">
        <f>IFERROR(VLOOKUP($D228,ウルトラ一覧!$A:$L,10,FALSE),"")</f>
        <v/>
      </c>
    </row>
    <row r="229">
      <c r="D229" s="4" t="n"/>
      <c r="K229">
        <f>IFERROR(VLOOKUP($D229,ウルトラ一覧!$A:$L,2,FALSE),"")</f>
        <v/>
      </c>
      <c r="L229">
        <f>IFERROR(VLOOKUP($D229,ウルトラ一覧!$A:$L,3,FALSE),"")</f>
        <v/>
      </c>
      <c r="M229">
        <f>IFERROR(VLOOKUP($D229,ウルトラ一覧!$A:$L,4,FALSE),"")</f>
        <v/>
      </c>
      <c r="N229">
        <f>IFERROR(VLOOKUP($D229,ウルトラ一覧!$A:$L,8,FALSE),"")</f>
        <v/>
      </c>
      <c r="O229">
        <f>IFERROR(VLOOKUP($D229,ウルトラ一覧!$A:$L,9,FALSE),"")</f>
        <v/>
      </c>
      <c r="P229">
        <f>IFERROR(VLOOKUP($D229,ウルトラ一覧!$A:$L,10,FALSE),"")</f>
        <v/>
      </c>
    </row>
    <row r="230">
      <c r="D230" s="4" t="n"/>
      <c r="K230">
        <f>IFERROR(VLOOKUP($D230,ウルトラ一覧!$A:$L,2,FALSE),"")</f>
        <v/>
      </c>
      <c r="L230">
        <f>IFERROR(VLOOKUP($D230,ウルトラ一覧!$A:$L,3,FALSE),"")</f>
        <v/>
      </c>
      <c r="M230">
        <f>IFERROR(VLOOKUP($D230,ウルトラ一覧!$A:$L,4,FALSE),"")</f>
        <v/>
      </c>
      <c r="N230">
        <f>IFERROR(VLOOKUP($D230,ウルトラ一覧!$A:$L,8,FALSE),"")</f>
        <v/>
      </c>
      <c r="O230">
        <f>IFERROR(VLOOKUP($D230,ウルトラ一覧!$A:$L,9,FALSE),"")</f>
        <v/>
      </c>
      <c r="P230">
        <f>IFERROR(VLOOKUP($D230,ウルトラ一覧!$A:$L,10,FALSE),"")</f>
        <v/>
      </c>
    </row>
    <row r="231">
      <c r="D231" s="4" t="n"/>
      <c r="K231">
        <f>IFERROR(VLOOKUP($D231,ウルトラ一覧!$A:$L,2,FALSE),"")</f>
        <v/>
      </c>
      <c r="L231">
        <f>IFERROR(VLOOKUP($D231,ウルトラ一覧!$A:$L,3,FALSE),"")</f>
        <v/>
      </c>
      <c r="M231">
        <f>IFERROR(VLOOKUP($D231,ウルトラ一覧!$A:$L,4,FALSE),"")</f>
        <v/>
      </c>
      <c r="N231">
        <f>IFERROR(VLOOKUP($D231,ウルトラ一覧!$A:$L,8,FALSE),"")</f>
        <v/>
      </c>
      <c r="O231">
        <f>IFERROR(VLOOKUP($D231,ウルトラ一覧!$A:$L,9,FALSE),"")</f>
        <v/>
      </c>
      <c r="P231">
        <f>IFERROR(VLOOKUP($D231,ウルトラ一覧!$A:$L,10,FALSE),"")</f>
        <v/>
      </c>
    </row>
    <row r="232">
      <c r="D232" s="4" t="n"/>
      <c r="K232">
        <f>IFERROR(VLOOKUP($D232,ウルトラ一覧!$A:$L,2,FALSE),"")</f>
        <v/>
      </c>
      <c r="L232">
        <f>IFERROR(VLOOKUP($D232,ウルトラ一覧!$A:$L,3,FALSE),"")</f>
        <v/>
      </c>
      <c r="M232">
        <f>IFERROR(VLOOKUP($D232,ウルトラ一覧!$A:$L,4,FALSE),"")</f>
        <v/>
      </c>
      <c r="N232">
        <f>IFERROR(VLOOKUP($D232,ウルトラ一覧!$A:$L,8,FALSE),"")</f>
        <v/>
      </c>
      <c r="O232">
        <f>IFERROR(VLOOKUP($D232,ウルトラ一覧!$A:$L,9,FALSE),"")</f>
        <v/>
      </c>
      <c r="P232">
        <f>IFERROR(VLOOKUP($D232,ウルトラ一覧!$A:$L,10,FALSE),"")</f>
        <v/>
      </c>
    </row>
    <row r="233">
      <c r="D233" s="4" t="n"/>
      <c r="K233">
        <f>IFERROR(VLOOKUP($D233,ウルトラ一覧!$A:$L,2,FALSE),"")</f>
        <v/>
      </c>
      <c r="L233">
        <f>IFERROR(VLOOKUP($D233,ウルトラ一覧!$A:$L,3,FALSE),"")</f>
        <v/>
      </c>
      <c r="M233">
        <f>IFERROR(VLOOKUP($D233,ウルトラ一覧!$A:$L,4,FALSE),"")</f>
        <v/>
      </c>
      <c r="N233">
        <f>IFERROR(VLOOKUP($D233,ウルトラ一覧!$A:$L,8,FALSE),"")</f>
        <v/>
      </c>
      <c r="O233">
        <f>IFERROR(VLOOKUP($D233,ウルトラ一覧!$A:$L,9,FALSE),"")</f>
        <v/>
      </c>
      <c r="P233">
        <f>IFERROR(VLOOKUP($D233,ウルトラ一覧!$A:$L,10,FALSE),"")</f>
        <v/>
      </c>
    </row>
    <row r="234">
      <c r="D234" s="4" t="n"/>
      <c r="K234">
        <f>IFERROR(VLOOKUP($D234,ウルトラ一覧!$A:$L,2,FALSE),"")</f>
        <v/>
      </c>
      <c r="L234">
        <f>IFERROR(VLOOKUP($D234,ウルトラ一覧!$A:$L,3,FALSE),"")</f>
        <v/>
      </c>
      <c r="M234">
        <f>IFERROR(VLOOKUP($D234,ウルトラ一覧!$A:$L,4,FALSE),"")</f>
        <v/>
      </c>
      <c r="N234">
        <f>IFERROR(VLOOKUP($D234,ウルトラ一覧!$A:$L,8,FALSE),"")</f>
        <v/>
      </c>
      <c r="O234">
        <f>IFERROR(VLOOKUP($D234,ウルトラ一覧!$A:$L,9,FALSE),"")</f>
        <v/>
      </c>
      <c r="P234">
        <f>IFERROR(VLOOKUP($D234,ウルトラ一覧!$A:$L,10,FALSE),"")</f>
        <v/>
      </c>
    </row>
    <row r="235">
      <c r="D235" s="4" t="n"/>
      <c r="K235">
        <f>IFERROR(VLOOKUP($D235,ウルトラ一覧!$A:$L,2,FALSE),"")</f>
        <v/>
      </c>
      <c r="L235">
        <f>IFERROR(VLOOKUP($D235,ウルトラ一覧!$A:$L,3,FALSE),"")</f>
        <v/>
      </c>
      <c r="M235">
        <f>IFERROR(VLOOKUP($D235,ウルトラ一覧!$A:$L,4,FALSE),"")</f>
        <v/>
      </c>
      <c r="N235">
        <f>IFERROR(VLOOKUP($D235,ウルトラ一覧!$A:$L,8,FALSE),"")</f>
        <v/>
      </c>
      <c r="O235">
        <f>IFERROR(VLOOKUP($D235,ウルトラ一覧!$A:$L,9,FALSE),"")</f>
        <v/>
      </c>
      <c r="P235">
        <f>IFERROR(VLOOKUP($D235,ウルトラ一覧!$A:$L,10,FALSE),"")</f>
        <v/>
      </c>
    </row>
    <row r="236">
      <c r="D236" s="4" t="n"/>
      <c r="K236">
        <f>IFERROR(VLOOKUP($D236,ウルトラ一覧!$A:$L,2,FALSE),"")</f>
        <v/>
      </c>
      <c r="L236">
        <f>IFERROR(VLOOKUP($D236,ウルトラ一覧!$A:$L,3,FALSE),"")</f>
        <v/>
      </c>
      <c r="M236">
        <f>IFERROR(VLOOKUP($D236,ウルトラ一覧!$A:$L,4,FALSE),"")</f>
        <v/>
      </c>
      <c r="N236">
        <f>IFERROR(VLOOKUP($D236,ウルトラ一覧!$A:$L,8,FALSE),"")</f>
        <v/>
      </c>
      <c r="O236">
        <f>IFERROR(VLOOKUP($D236,ウルトラ一覧!$A:$L,9,FALSE),"")</f>
        <v/>
      </c>
      <c r="P236">
        <f>IFERROR(VLOOKUP($D236,ウルトラ一覧!$A:$L,10,FALSE),"")</f>
        <v/>
      </c>
    </row>
    <row r="237">
      <c r="D237" s="4" t="n"/>
      <c r="K237">
        <f>IFERROR(VLOOKUP($D237,ウルトラ一覧!$A:$L,2,FALSE),"")</f>
        <v/>
      </c>
      <c r="L237">
        <f>IFERROR(VLOOKUP($D237,ウルトラ一覧!$A:$L,3,FALSE),"")</f>
        <v/>
      </c>
      <c r="M237">
        <f>IFERROR(VLOOKUP($D237,ウルトラ一覧!$A:$L,4,FALSE),"")</f>
        <v/>
      </c>
      <c r="N237">
        <f>IFERROR(VLOOKUP($D237,ウルトラ一覧!$A:$L,8,FALSE),"")</f>
        <v/>
      </c>
      <c r="O237">
        <f>IFERROR(VLOOKUP($D237,ウルトラ一覧!$A:$L,9,FALSE),"")</f>
        <v/>
      </c>
      <c r="P237">
        <f>IFERROR(VLOOKUP($D237,ウルトラ一覧!$A:$L,10,FALSE),"")</f>
        <v/>
      </c>
    </row>
    <row r="238">
      <c r="D238" s="4" t="n"/>
      <c r="K238">
        <f>IFERROR(VLOOKUP($D238,ウルトラ一覧!$A:$L,2,FALSE),"")</f>
        <v/>
      </c>
      <c r="L238">
        <f>IFERROR(VLOOKUP($D238,ウルトラ一覧!$A:$L,3,FALSE),"")</f>
        <v/>
      </c>
      <c r="M238">
        <f>IFERROR(VLOOKUP($D238,ウルトラ一覧!$A:$L,4,FALSE),"")</f>
        <v/>
      </c>
      <c r="N238">
        <f>IFERROR(VLOOKUP($D238,ウルトラ一覧!$A:$L,8,FALSE),"")</f>
        <v/>
      </c>
      <c r="O238">
        <f>IFERROR(VLOOKUP($D238,ウルトラ一覧!$A:$L,9,FALSE),"")</f>
        <v/>
      </c>
      <c r="P238">
        <f>IFERROR(VLOOKUP($D238,ウルトラ一覧!$A:$L,10,FALSE),"")</f>
        <v/>
      </c>
    </row>
    <row r="239">
      <c r="D239" s="4" t="n"/>
      <c r="K239">
        <f>IFERROR(VLOOKUP($D239,ウルトラ一覧!$A:$L,2,FALSE),"")</f>
        <v/>
      </c>
      <c r="L239">
        <f>IFERROR(VLOOKUP($D239,ウルトラ一覧!$A:$L,3,FALSE),"")</f>
        <v/>
      </c>
      <c r="M239">
        <f>IFERROR(VLOOKUP($D239,ウルトラ一覧!$A:$L,4,FALSE),"")</f>
        <v/>
      </c>
      <c r="N239">
        <f>IFERROR(VLOOKUP($D239,ウルトラ一覧!$A:$L,8,FALSE),"")</f>
        <v/>
      </c>
      <c r="O239">
        <f>IFERROR(VLOOKUP($D239,ウルトラ一覧!$A:$L,9,FALSE),"")</f>
        <v/>
      </c>
      <c r="P239">
        <f>IFERROR(VLOOKUP($D239,ウルトラ一覧!$A:$L,10,FALSE),"")</f>
        <v/>
      </c>
    </row>
    <row r="240">
      <c r="D240" s="4" t="n"/>
      <c r="K240">
        <f>IFERROR(VLOOKUP($D240,ウルトラ一覧!$A:$L,2,FALSE),"")</f>
        <v/>
      </c>
      <c r="L240">
        <f>IFERROR(VLOOKUP($D240,ウルトラ一覧!$A:$L,3,FALSE),"")</f>
        <v/>
      </c>
      <c r="M240">
        <f>IFERROR(VLOOKUP($D240,ウルトラ一覧!$A:$L,4,FALSE),"")</f>
        <v/>
      </c>
      <c r="N240">
        <f>IFERROR(VLOOKUP($D240,ウルトラ一覧!$A:$L,8,FALSE),"")</f>
        <v/>
      </c>
      <c r="O240">
        <f>IFERROR(VLOOKUP($D240,ウルトラ一覧!$A:$L,9,FALSE),"")</f>
        <v/>
      </c>
      <c r="P240">
        <f>IFERROR(VLOOKUP($D240,ウルトラ一覧!$A:$L,10,FALSE),"")</f>
        <v/>
      </c>
    </row>
    <row r="241">
      <c r="D241" s="4" t="n"/>
      <c r="K241">
        <f>IFERROR(VLOOKUP($D241,ウルトラ一覧!$A:$L,2,FALSE),"")</f>
        <v/>
      </c>
      <c r="L241">
        <f>IFERROR(VLOOKUP($D241,ウルトラ一覧!$A:$L,3,FALSE),"")</f>
        <v/>
      </c>
      <c r="M241">
        <f>IFERROR(VLOOKUP($D241,ウルトラ一覧!$A:$L,4,FALSE),"")</f>
        <v/>
      </c>
      <c r="N241">
        <f>IFERROR(VLOOKUP($D241,ウルトラ一覧!$A:$L,8,FALSE),"")</f>
        <v/>
      </c>
      <c r="O241">
        <f>IFERROR(VLOOKUP($D241,ウルトラ一覧!$A:$L,9,FALSE),"")</f>
        <v/>
      </c>
      <c r="P241">
        <f>IFERROR(VLOOKUP($D241,ウルトラ一覧!$A:$L,10,FALSE),"")</f>
        <v/>
      </c>
    </row>
    <row r="242">
      <c r="D242" s="4" t="n"/>
      <c r="K242">
        <f>IFERROR(VLOOKUP($D242,ウルトラ一覧!$A:$L,2,FALSE),"")</f>
        <v/>
      </c>
      <c r="L242">
        <f>IFERROR(VLOOKUP($D242,ウルトラ一覧!$A:$L,3,FALSE),"")</f>
        <v/>
      </c>
      <c r="M242">
        <f>IFERROR(VLOOKUP($D242,ウルトラ一覧!$A:$L,4,FALSE),"")</f>
        <v/>
      </c>
      <c r="N242">
        <f>IFERROR(VLOOKUP($D242,ウルトラ一覧!$A:$L,8,FALSE),"")</f>
        <v/>
      </c>
      <c r="O242">
        <f>IFERROR(VLOOKUP($D242,ウルトラ一覧!$A:$L,9,FALSE),"")</f>
        <v/>
      </c>
      <c r="P242">
        <f>IFERROR(VLOOKUP($D242,ウルトラ一覧!$A:$L,10,FALSE),"")</f>
        <v/>
      </c>
    </row>
    <row r="243">
      <c r="D243" s="4" t="n"/>
      <c r="K243">
        <f>IFERROR(VLOOKUP($D243,ウルトラ一覧!$A:$L,2,FALSE),"")</f>
        <v/>
      </c>
      <c r="L243">
        <f>IFERROR(VLOOKUP($D243,ウルトラ一覧!$A:$L,3,FALSE),"")</f>
        <v/>
      </c>
      <c r="M243">
        <f>IFERROR(VLOOKUP($D243,ウルトラ一覧!$A:$L,4,FALSE),"")</f>
        <v/>
      </c>
      <c r="N243">
        <f>IFERROR(VLOOKUP($D243,ウルトラ一覧!$A:$L,8,FALSE),"")</f>
        <v/>
      </c>
      <c r="O243">
        <f>IFERROR(VLOOKUP($D243,ウルトラ一覧!$A:$L,9,FALSE),"")</f>
        <v/>
      </c>
      <c r="P243">
        <f>IFERROR(VLOOKUP($D243,ウルトラ一覧!$A:$L,10,FALSE),"")</f>
        <v/>
      </c>
    </row>
    <row r="244">
      <c r="D244" s="4" t="n"/>
      <c r="K244">
        <f>IFERROR(VLOOKUP($D244,ウルトラ一覧!$A:$L,2,FALSE),"")</f>
        <v/>
      </c>
      <c r="L244">
        <f>IFERROR(VLOOKUP($D244,ウルトラ一覧!$A:$L,3,FALSE),"")</f>
        <v/>
      </c>
      <c r="M244">
        <f>IFERROR(VLOOKUP($D244,ウルトラ一覧!$A:$L,4,FALSE),"")</f>
        <v/>
      </c>
      <c r="N244">
        <f>IFERROR(VLOOKUP($D244,ウルトラ一覧!$A:$L,8,FALSE),"")</f>
        <v/>
      </c>
      <c r="O244">
        <f>IFERROR(VLOOKUP($D244,ウルトラ一覧!$A:$L,9,FALSE),"")</f>
        <v/>
      </c>
      <c r="P244">
        <f>IFERROR(VLOOKUP($D244,ウルトラ一覧!$A:$L,10,FALSE),"")</f>
        <v/>
      </c>
    </row>
    <row r="245">
      <c r="D245" s="4" t="n"/>
      <c r="K245">
        <f>IFERROR(VLOOKUP($D245,ウルトラ一覧!$A:$L,2,FALSE),"")</f>
        <v/>
      </c>
      <c r="L245">
        <f>IFERROR(VLOOKUP($D245,ウルトラ一覧!$A:$L,3,FALSE),"")</f>
        <v/>
      </c>
      <c r="M245">
        <f>IFERROR(VLOOKUP($D245,ウルトラ一覧!$A:$L,4,FALSE),"")</f>
        <v/>
      </c>
      <c r="N245">
        <f>IFERROR(VLOOKUP($D245,ウルトラ一覧!$A:$L,8,FALSE),"")</f>
        <v/>
      </c>
      <c r="O245">
        <f>IFERROR(VLOOKUP($D245,ウルトラ一覧!$A:$L,9,FALSE),"")</f>
        <v/>
      </c>
      <c r="P245">
        <f>IFERROR(VLOOKUP($D245,ウルトラ一覧!$A:$L,10,FALSE),"")</f>
        <v/>
      </c>
    </row>
    <row r="246">
      <c r="D246" s="4" t="n"/>
      <c r="K246">
        <f>IFERROR(VLOOKUP($D246,ウルトラ一覧!$A:$L,2,FALSE),"")</f>
        <v/>
      </c>
      <c r="L246">
        <f>IFERROR(VLOOKUP($D246,ウルトラ一覧!$A:$L,3,FALSE),"")</f>
        <v/>
      </c>
      <c r="M246">
        <f>IFERROR(VLOOKUP($D246,ウルトラ一覧!$A:$L,4,FALSE),"")</f>
        <v/>
      </c>
      <c r="N246">
        <f>IFERROR(VLOOKUP($D246,ウルトラ一覧!$A:$L,8,FALSE),"")</f>
        <v/>
      </c>
      <c r="O246">
        <f>IFERROR(VLOOKUP($D246,ウルトラ一覧!$A:$L,9,FALSE),"")</f>
        <v/>
      </c>
      <c r="P246">
        <f>IFERROR(VLOOKUP($D246,ウルトラ一覧!$A:$L,10,FALSE),"")</f>
        <v/>
      </c>
    </row>
    <row r="247">
      <c r="D247" s="4" t="n"/>
      <c r="K247">
        <f>IFERROR(VLOOKUP($D247,ウルトラ一覧!$A:$L,2,FALSE),"")</f>
        <v/>
      </c>
      <c r="L247">
        <f>IFERROR(VLOOKUP($D247,ウルトラ一覧!$A:$L,3,FALSE),"")</f>
        <v/>
      </c>
      <c r="M247">
        <f>IFERROR(VLOOKUP($D247,ウルトラ一覧!$A:$L,4,FALSE),"")</f>
        <v/>
      </c>
      <c r="N247">
        <f>IFERROR(VLOOKUP($D247,ウルトラ一覧!$A:$L,8,FALSE),"")</f>
        <v/>
      </c>
      <c r="O247">
        <f>IFERROR(VLOOKUP($D247,ウルトラ一覧!$A:$L,9,FALSE),"")</f>
        <v/>
      </c>
      <c r="P247">
        <f>IFERROR(VLOOKUP($D247,ウルトラ一覧!$A:$L,10,FALSE),"")</f>
        <v/>
      </c>
    </row>
    <row r="248">
      <c r="D248" s="4" t="n"/>
      <c r="K248">
        <f>IFERROR(VLOOKUP($D248,ウルトラ一覧!$A:$L,2,FALSE),"")</f>
        <v/>
      </c>
      <c r="L248">
        <f>IFERROR(VLOOKUP($D248,ウルトラ一覧!$A:$L,3,FALSE),"")</f>
        <v/>
      </c>
      <c r="M248">
        <f>IFERROR(VLOOKUP($D248,ウルトラ一覧!$A:$L,4,FALSE),"")</f>
        <v/>
      </c>
      <c r="N248">
        <f>IFERROR(VLOOKUP($D248,ウルトラ一覧!$A:$L,8,FALSE),"")</f>
        <v/>
      </c>
      <c r="O248">
        <f>IFERROR(VLOOKUP($D248,ウルトラ一覧!$A:$L,9,FALSE),"")</f>
        <v/>
      </c>
      <c r="P248">
        <f>IFERROR(VLOOKUP($D248,ウルトラ一覧!$A:$L,10,FALSE),"")</f>
        <v/>
      </c>
    </row>
    <row r="249">
      <c r="D249" s="4" t="n"/>
      <c r="K249">
        <f>IFERROR(VLOOKUP($D249,ウルトラ一覧!$A:$L,2,FALSE),"")</f>
        <v/>
      </c>
      <c r="L249">
        <f>IFERROR(VLOOKUP($D249,ウルトラ一覧!$A:$L,3,FALSE),"")</f>
        <v/>
      </c>
      <c r="M249">
        <f>IFERROR(VLOOKUP($D249,ウルトラ一覧!$A:$L,4,FALSE),"")</f>
        <v/>
      </c>
      <c r="N249">
        <f>IFERROR(VLOOKUP($D249,ウルトラ一覧!$A:$L,8,FALSE),"")</f>
        <v/>
      </c>
      <c r="O249">
        <f>IFERROR(VLOOKUP($D249,ウルトラ一覧!$A:$L,9,FALSE),"")</f>
        <v/>
      </c>
      <c r="P249">
        <f>IFERROR(VLOOKUP($D249,ウルトラ一覧!$A:$L,10,FALSE),"")</f>
        <v/>
      </c>
    </row>
    <row r="250">
      <c r="D250" s="4" t="n"/>
      <c r="K250">
        <f>IFERROR(VLOOKUP($D250,ウルトラ一覧!$A:$L,2,FALSE),"")</f>
        <v/>
      </c>
      <c r="L250">
        <f>IFERROR(VLOOKUP($D250,ウルトラ一覧!$A:$L,3,FALSE),"")</f>
        <v/>
      </c>
      <c r="M250">
        <f>IFERROR(VLOOKUP($D250,ウルトラ一覧!$A:$L,4,FALSE),"")</f>
        <v/>
      </c>
      <c r="N250">
        <f>IFERROR(VLOOKUP($D250,ウルトラ一覧!$A:$L,8,FALSE),"")</f>
        <v/>
      </c>
      <c r="O250">
        <f>IFERROR(VLOOKUP($D250,ウルトラ一覧!$A:$L,9,FALSE),"")</f>
        <v/>
      </c>
      <c r="P250">
        <f>IFERROR(VLOOKUP($D250,ウルトラ一覧!$A:$L,10,FALSE),"")</f>
        <v/>
      </c>
    </row>
    <row r="251">
      <c r="D251" s="4" t="n"/>
      <c r="K251">
        <f>IFERROR(VLOOKUP($D251,ウルトラ一覧!$A:$L,2,FALSE),"")</f>
        <v/>
      </c>
      <c r="L251">
        <f>IFERROR(VLOOKUP($D251,ウルトラ一覧!$A:$L,3,FALSE),"")</f>
        <v/>
      </c>
      <c r="M251">
        <f>IFERROR(VLOOKUP($D251,ウルトラ一覧!$A:$L,4,FALSE),"")</f>
        <v/>
      </c>
      <c r="N251">
        <f>IFERROR(VLOOKUP($D251,ウルトラ一覧!$A:$L,8,FALSE),"")</f>
        <v/>
      </c>
      <c r="O251">
        <f>IFERROR(VLOOKUP($D251,ウルトラ一覧!$A:$L,9,FALSE),"")</f>
        <v/>
      </c>
      <c r="P251">
        <f>IFERROR(VLOOKUP($D251,ウルトラ一覧!$A:$L,10,FALSE),"")</f>
        <v/>
      </c>
    </row>
    <row r="252">
      <c r="D252" s="4" t="n"/>
      <c r="K252">
        <f>IFERROR(VLOOKUP($D252,ウルトラ一覧!$A:$L,2,FALSE),"")</f>
        <v/>
      </c>
      <c r="L252">
        <f>IFERROR(VLOOKUP($D252,ウルトラ一覧!$A:$L,3,FALSE),"")</f>
        <v/>
      </c>
      <c r="M252">
        <f>IFERROR(VLOOKUP($D252,ウルトラ一覧!$A:$L,4,FALSE),"")</f>
        <v/>
      </c>
      <c r="N252">
        <f>IFERROR(VLOOKUP($D252,ウルトラ一覧!$A:$L,8,FALSE),"")</f>
        <v/>
      </c>
      <c r="O252">
        <f>IFERROR(VLOOKUP($D252,ウルトラ一覧!$A:$L,9,FALSE),"")</f>
        <v/>
      </c>
      <c r="P252">
        <f>IFERROR(VLOOKUP($D252,ウルトラ一覧!$A:$L,10,FALSE),"")</f>
        <v/>
      </c>
    </row>
    <row r="253">
      <c r="D253" s="4" t="n"/>
      <c r="K253">
        <f>IFERROR(VLOOKUP($D253,ウルトラ一覧!$A:$L,2,FALSE),"")</f>
        <v/>
      </c>
      <c r="L253">
        <f>IFERROR(VLOOKUP($D253,ウルトラ一覧!$A:$L,3,FALSE),"")</f>
        <v/>
      </c>
      <c r="M253">
        <f>IFERROR(VLOOKUP($D253,ウルトラ一覧!$A:$L,4,FALSE),"")</f>
        <v/>
      </c>
      <c r="N253">
        <f>IFERROR(VLOOKUP($D253,ウルトラ一覧!$A:$L,8,FALSE),"")</f>
        <v/>
      </c>
      <c r="O253">
        <f>IFERROR(VLOOKUP($D253,ウルトラ一覧!$A:$L,9,FALSE),"")</f>
        <v/>
      </c>
      <c r="P253">
        <f>IFERROR(VLOOKUP($D253,ウルトラ一覧!$A:$L,10,FALSE),"")</f>
        <v/>
      </c>
    </row>
    <row r="254">
      <c r="D254" s="4" t="n"/>
      <c r="K254">
        <f>IFERROR(VLOOKUP($D254,ウルトラ一覧!$A:$L,2,FALSE),"")</f>
        <v/>
      </c>
      <c r="L254">
        <f>IFERROR(VLOOKUP($D254,ウルトラ一覧!$A:$L,3,FALSE),"")</f>
        <v/>
      </c>
      <c r="M254">
        <f>IFERROR(VLOOKUP($D254,ウルトラ一覧!$A:$L,4,FALSE),"")</f>
        <v/>
      </c>
      <c r="N254">
        <f>IFERROR(VLOOKUP($D254,ウルトラ一覧!$A:$L,8,FALSE),"")</f>
        <v/>
      </c>
      <c r="O254">
        <f>IFERROR(VLOOKUP($D254,ウルトラ一覧!$A:$L,9,FALSE),"")</f>
        <v/>
      </c>
      <c r="P254">
        <f>IFERROR(VLOOKUP($D254,ウルトラ一覧!$A:$L,10,FALSE),"")</f>
        <v/>
      </c>
    </row>
    <row r="255">
      <c r="D255" s="4" t="n"/>
      <c r="K255">
        <f>IFERROR(VLOOKUP($D255,ウルトラ一覧!$A:$L,2,FALSE),"")</f>
        <v/>
      </c>
      <c r="L255">
        <f>IFERROR(VLOOKUP($D255,ウルトラ一覧!$A:$L,3,FALSE),"")</f>
        <v/>
      </c>
      <c r="M255">
        <f>IFERROR(VLOOKUP($D255,ウルトラ一覧!$A:$L,4,FALSE),"")</f>
        <v/>
      </c>
      <c r="N255">
        <f>IFERROR(VLOOKUP($D255,ウルトラ一覧!$A:$L,8,FALSE),"")</f>
        <v/>
      </c>
      <c r="O255">
        <f>IFERROR(VLOOKUP($D255,ウルトラ一覧!$A:$L,9,FALSE),"")</f>
        <v/>
      </c>
      <c r="P255">
        <f>IFERROR(VLOOKUP($D255,ウルトラ一覧!$A:$L,10,FALSE),"")</f>
        <v/>
      </c>
    </row>
    <row r="256">
      <c r="D256" s="4" t="n"/>
      <c r="K256">
        <f>IFERROR(VLOOKUP($D256,ウルトラ一覧!$A:$L,2,FALSE),"")</f>
        <v/>
      </c>
      <c r="L256">
        <f>IFERROR(VLOOKUP($D256,ウルトラ一覧!$A:$L,3,FALSE),"")</f>
        <v/>
      </c>
      <c r="M256">
        <f>IFERROR(VLOOKUP($D256,ウルトラ一覧!$A:$L,4,FALSE),"")</f>
        <v/>
      </c>
      <c r="N256">
        <f>IFERROR(VLOOKUP($D256,ウルトラ一覧!$A:$L,8,FALSE),"")</f>
        <v/>
      </c>
      <c r="O256">
        <f>IFERROR(VLOOKUP($D256,ウルトラ一覧!$A:$L,9,FALSE),"")</f>
        <v/>
      </c>
      <c r="P256">
        <f>IFERROR(VLOOKUP($D256,ウルトラ一覧!$A:$L,10,FALSE),"")</f>
        <v/>
      </c>
    </row>
    <row r="257">
      <c r="D257" s="4" t="n"/>
      <c r="K257">
        <f>IFERROR(VLOOKUP($D257,ウルトラ一覧!$A:$L,2,FALSE),"")</f>
        <v/>
      </c>
      <c r="L257">
        <f>IFERROR(VLOOKUP($D257,ウルトラ一覧!$A:$L,3,FALSE),"")</f>
        <v/>
      </c>
      <c r="M257">
        <f>IFERROR(VLOOKUP($D257,ウルトラ一覧!$A:$L,4,FALSE),"")</f>
        <v/>
      </c>
      <c r="N257">
        <f>IFERROR(VLOOKUP($D257,ウルトラ一覧!$A:$L,8,FALSE),"")</f>
        <v/>
      </c>
      <c r="O257">
        <f>IFERROR(VLOOKUP($D257,ウルトラ一覧!$A:$L,9,FALSE),"")</f>
        <v/>
      </c>
      <c r="P257">
        <f>IFERROR(VLOOKUP($D257,ウルトラ一覧!$A:$L,10,FALSE),"")</f>
        <v/>
      </c>
    </row>
    <row r="258">
      <c r="D258" s="4" t="n"/>
      <c r="K258">
        <f>IFERROR(VLOOKUP($D258,ウルトラ一覧!$A:$L,2,FALSE),"")</f>
        <v/>
      </c>
      <c r="L258">
        <f>IFERROR(VLOOKUP($D258,ウルトラ一覧!$A:$L,3,FALSE),"")</f>
        <v/>
      </c>
      <c r="M258">
        <f>IFERROR(VLOOKUP($D258,ウルトラ一覧!$A:$L,4,FALSE),"")</f>
        <v/>
      </c>
      <c r="N258">
        <f>IFERROR(VLOOKUP($D258,ウルトラ一覧!$A:$L,8,FALSE),"")</f>
        <v/>
      </c>
      <c r="O258">
        <f>IFERROR(VLOOKUP($D258,ウルトラ一覧!$A:$L,9,FALSE),"")</f>
        <v/>
      </c>
      <c r="P258">
        <f>IFERROR(VLOOKUP($D258,ウルトラ一覧!$A:$L,10,FALSE),"")</f>
        <v/>
      </c>
    </row>
    <row r="259">
      <c r="D259" s="4" t="n"/>
      <c r="K259">
        <f>IFERROR(VLOOKUP($D259,ウルトラ一覧!$A:$L,2,FALSE),"")</f>
        <v/>
      </c>
      <c r="L259">
        <f>IFERROR(VLOOKUP($D259,ウルトラ一覧!$A:$L,3,FALSE),"")</f>
        <v/>
      </c>
      <c r="M259">
        <f>IFERROR(VLOOKUP($D259,ウルトラ一覧!$A:$L,4,FALSE),"")</f>
        <v/>
      </c>
      <c r="N259">
        <f>IFERROR(VLOOKUP($D259,ウルトラ一覧!$A:$L,8,FALSE),"")</f>
        <v/>
      </c>
      <c r="O259">
        <f>IFERROR(VLOOKUP($D259,ウルトラ一覧!$A:$L,9,FALSE),"")</f>
        <v/>
      </c>
      <c r="P259">
        <f>IFERROR(VLOOKUP($D259,ウルトラ一覧!$A:$L,10,FALSE),"")</f>
        <v/>
      </c>
    </row>
    <row r="260">
      <c r="D260" s="4" t="n"/>
      <c r="K260">
        <f>IFERROR(VLOOKUP($D260,ウルトラ一覧!$A:$L,2,FALSE),"")</f>
        <v/>
      </c>
      <c r="L260">
        <f>IFERROR(VLOOKUP($D260,ウルトラ一覧!$A:$L,3,FALSE),"")</f>
        <v/>
      </c>
      <c r="M260">
        <f>IFERROR(VLOOKUP($D260,ウルトラ一覧!$A:$L,4,FALSE),"")</f>
        <v/>
      </c>
      <c r="N260">
        <f>IFERROR(VLOOKUP($D260,ウルトラ一覧!$A:$L,8,FALSE),"")</f>
        <v/>
      </c>
      <c r="O260">
        <f>IFERROR(VLOOKUP($D260,ウルトラ一覧!$A:$L,9,FALSE),"")</f>
        <v/>
      </c>
      <c r="P260">
        <f>IFERROR(VLOOKUP($D260,ウルトラ一覧!$A:$L,10,FALSE),"")</f>
        <v/>
      </c>
    </row>
    <row r="261">
      <c r="D261" s="4" t="n"/>
      <c r="K261">
        <f>IFERROR(VLOOKUP($D261,ウルトラ一覧!$A:$L,2,FALSE),"")</f>
        <v/>
      </c>
      <c r="L261">
        <f>IFERROR(VLOOKUP($D261,ウルトラ一覧!$A:$L,3,FALSE),"")</f>
        <v/>
      </c>
      <c r="M261">
        <f>IFERROR(VLOOKUP($D261,ウルトラ一覧!$A:$L,4,FALSE),"")</f>
        <v/>
      </c>
      <c r="N261">
        <f>IFERROR(VLOOKUP($D261,ウルトラ一覧!$A:$L,8,FALSE),"")</f>
        <v/>
      </c>
      <c r="O261">
        <f>IFERROR(VLOOKUP($D261,ウルトラ一覧!$A:$L,9,FALSE),"")</f>
        <v/>
      </c>
      <c r="P261">
        <f>IFERROR(VLOOKUP($D261,ウルトラ一覧!$A:$L,10,FALSE),"")</f>
        <v/>
      </c>
    </row>
    <row r="262">
      <c r="D262" s="4" t="n"/>
      <c r="K262">
        <f>IFERROR(VLOOKUP($D262,ウルトラ一覧!$A:$L,2,FALSE),"")</f>
        <v/>
      </c>
      <c r="L262">
        <f>IFERROR(VLOOKUP($D262,ウルトラ一覧!$A:$L,3,FALSE),"")</f>
        <v/>
      </c>
      <c r="M262">
        <f>IFERROR(VLOOKUP($D262,ウルトラ一覧!$A:$L,4,FALSE),"")</f>
        <v/>
      </c>
      <c r="N262">
        <f>IFERROR(VLOOKUP($D262,ウルトラ一覧!$A:$L,8,FALSE),"")</f>
        <v/>
      </c>
      <c r="O262">
        <f>IFERROR(VLOOKUP($D262,ウルトラ一覧!$A:$L,9,FALSE),"")</f>
        <v/>
      </c>
      <c r="P262">
        <f>IFERROR(VLOOKUP($D262,ウルトラ一覧!$A:$L,10,FALSE),"")</f>
        <v/>
      </c>
    </row>
    <row r="263">
      <c r="D263" s="4" t="n"/>
      <c r="K263">
        <f>IFERROR(VLOOKUP($D263,ウルトラ一覧!$A:$L,2,FALSE),"")</f>
        <v/>
      </c>
      <c r="L263">
        <f>IFERROR(VLOOKUP($D263,ウルトラ一覧!$A:$L,3,FALSE),"")</f>
        <v/>
      </c>
      <c r="M263">
        <f>IFERROR(VLOOKUP($D263,ウルトラ一覧!$A:$L,4,FALSE),"")</f>
        <v/>
      </c>
      <c r="N263">
        <f>IFERROR(VLOOKUP($D263,ウルトラ一覧!$A:$L,8,FALSE),"")</f>
        <v/>
      </c>
      <c r="O263">
        <f>IFERROR(VLOOKUP($D263,ウルトラ一覧!$A:$L,9,FALSE),"")</f>
        <v/>
      </c>
      <c r="P263">
        <f>IFERROR(VLOOKUP($D263,ウルトラ一覧!$A:$L,10,FALSE),"")</f>
        <v/>
      </c>
    </row>
    <row r="264">
      <c r="D264" s="4" t="n"/>
      <c r="K264">
        <f>IFERROR(VLOOKUP($D264,ウルトラ一覧!$A:$L,2,FALSE),"")</f>
        <v/>
      </c>
      <c r="L264">
        <f>IFERROR(VLOOKUP($D264,ウルトラ一覧!$A:$L,3,FALSE),"")</f>
        <v/>
      </c>
      <c r="M264">
        <f>IFERROR(VLOOKUP($D264,ウルトラ一覧!$A:$L,4,FALSE),"")</f>
        <v/>
      </c>
      <c r="N264">
        <f>IFERROR(VLOOKUP($D264,ウルトラ一覧!$A:$L,8,FALSE),"")</f>
        <v/>
      </c>
      <c r="O264">
        <f>IFERROR(VLOOKUP($D264,ウルトラ一覧!$A:$L,9,FALSE),"")</f>
        <v/>
      </c>
      <c r="P264">
        <f>IFERROR(VLOOKUP($D264,ウルトラ一覧!$A:$L,10,FALSE),"")</f>
        <v/>
      </c>
    </row>
    <row r="265">
      <c r="D265" s="4" t="n"/>
      <c r="K265">
        <f>IFERROR(VLOOKUP($D265,ウルトラ一覧!$A:$L,2,FALSE),"")</f>
        <v/>
      </c>
      <c r="L265">
        <f>IFERROR(VLOOKUP($D265,ウルトラ一覧!$A:$L,3,FALSE),"")</f>
        <v/>
      </c>
      <c r="M265">
        <f>IFERROR(VLOOKUP($D265,ウルトラ一覧!$A:$L,4,FALSE),"")</f>
        <v/>
      </c>
      <c r="N265">
        <f>IFERROR(VLOOKUP($D265,ウルトラ一覧!$A:$L,8,FALSE),"")</f>
        <v/>
      </c>
      <c r="O265">
        <f>IFERROR(VLOOKUP($D265,ウルトラ一覧!$A:$L,9,FALSE),"")</f>
        <v/>
      </c>
      <c r="P265">
        <f>IFERROR(VLOOKUP($D265,ウルトラ一覧!$A:$L,10,FALSE),"")</f>
        <v/>
      </c>
    </row>
    <row r="266">
      <c r="D266" s="4" t="n"/>
      <c r="K266">
        <f>IFERROR(VLOOKUP($D266,ウルトラ一覧!$A:$L,2,FALSE),"")</f>
        <v/>
      </c>
      <c r="L266">
        <f>IFERROR(VLOOKUP($D266,ウルトラ一覧!$A:$L,3,FALSE),"")</f>
        <v/>
      </c>
      <c r="M266">
        <f>IFERROR(VLOOKUP($D266,ウルトラ一覧!$A:$L,4,FALSE),"")</f>
        <v/>
      </c>
      <c r="N266">
        <f>IFERROR(VLOOKUP($D266,ウルトラ一覧!$A:$L,8,FALSE),"")</f>
        <v/>
      </c>
      <c r="O266">
        <f>IFERROR(VLOOKUP($D266,ウルトラ一覧!$A:$L,9,FALSE),"")</f>
        <v/>
      </c>
      <c r="P266">
        <f>IFERROR(VLOOKUP($D266,ウルトラ一覧!$A:$L,10,FALSE),"")</f>
        <v/>
      </c>
    </row>
    <row r="267">
      <c r="D267" s="4" t="n"/>
      <c r="K267">
        <f>IFERROR(VLOOKUP($D267,ウルトラ一覧!$A:$L,2,FALSE),"")</f>
        <v/>
      </c>
      <c r="L267">
        <f>IFERROR(VLOOKUP($D267,ウルトラ一覧!$A:$L,3,FALSE),"")</f>
        <v/>
      </c>
      <c r="M267">
        <f>IFERROR(VLOOKUP($D267,ウルトラ一覧!$A:$L,4,FALSE),"")</f>
        <v/>
      </c>
      <c r="N267">
        <f>IFERROR(VLOOKUP($D267,ウルトラ一覧!$A:$L,8,FALSE),"")</f>
        <v/>
      </c>
      <c r="O267">
        <f>IFERROR(VLOOKUP($D267,ウルトラ一覧!$A:$L,9,FALSE),"")</f>
        <v/>
      </c>
      <c r="P267">
        <f>IFERROR(VLOOKUP($D267,ウルトラ一覧!$A:$L,10,FALSE),"")</f>
        <v/>
      </c>
    </row>
    <row r="268">
      <c r="D268" s="4" t="n"/>
      <c r="K268">
        <f>IFERROR(VLOOKUP($D268,ウルトラ一覧!$A:$L,2,FALSE),"")</f>
        <v/>
      </c>
      <c r="L268">
        <f>IFERROR(VLOOKUP($D268,ウルトラ一覧!$A:$L,3,FALSE),"")</f>
        <v/>
      </c>
      <c r="M268">
        <f>IFERROR(VLOOKUP($D268,ウルトラ一覧!$A:$L,4,FALSE),"")</f>
        <v/>
      </c>
      <c r="N268">
        <f>IFERROR(VLOOKUP($D268,ウルトラ一覧!$A:$L,8,FALSE),"")</f>
        <v/>
      </c>
      <c r="O268">
        <f>IFERROR(VLOOKUP($D268,ウルトラ一覧!$A:$L,9,FALSE),"")</f>
        <v/>
      </c>
      <c r="P268">
        <f>IFERROR(VLOOKUP($D268,ウルトラ一覧!$A:$L,10,FALSE),"")</f>
        <v/>
      </c>
    </row>
    <row r="269">
      <c r="D269" s="4" t="n"/>
      <c r="K269">
        <f>IFERROR(VLOOKUP($D269,ウルトラ一覧!$A:$L,2,FALSE),"")</f>
        <v/>
      </c>
      <c r="L269">
        <f>IFERROR(VLOOKUP($D269,ウルトラ一覧!$A:$L,3,FALSE),"")</f>
        <v/>
      </c>
      <c r="M269">
        <f>IFERROR(VLOOKUP($D269,ウルトラ一覧!$A:$L,4,FALSE),"")</f>
        <v/>
      </c>
      <c r="N269">
        <f>IFERROR(VLOOKUP($D269,ウルトラ一覧!$A:$L,8,FALSE),"")</f>
        <v/>
      </c>
      <c r="O269">
        <f>IFERROR(VLOOKUP($D269,ウルトラ一覧!$A:$L,9,FALSE),"")</f>
        <v/>
      </c>
      <c r="P269">
        <f>IFERROR(VLOOKUP($D269,ウルトラ一覧!$A:$L,10,FALSE),"")</f>
        <v/>
      </c>
    </row>
    <row r="270">
      <c r="D270" s="4" t="n"/>
      <c r="K270">
        <f>IFERROR(VLOOKUP($D270,ウルトラ一覧!$A:$L,2,FALSE),"")</f>
        <v/>
      </c>
      <c r="L270">
        <f>IFERROR(VLOOKUP($D270,ウルトラ一覧!$A:$L,3,FALSE),"")</f>
        <v/>
      </c>
      <c r="M270">
        <f>IFERROR(VLOOKUP($D270,ウルトラ一覧!$A:$L,4,FALSE),"")</f>
        <v/>
      </c>
      <c r="N270">
        <f>IFERROR(VLOOKUP($D270,ウルトラ一覧!$A:$L,8,FALSE),"")</f>
        <v/>
      </c>
      <c r="O270">
        <f>IFERROR(VLOOKUP($D270,ウルトラ一覧!$A:$L,9,FALSE),"")</f>
        <v/>
      </c>
      <c r="P270">
        <f>IFERROR(VLOOKUP($D270,ウルトラ一覧!$A:$L,10,FALSE),"")</f>
        <v/>
      </c>
    </row>
    <row r="271">
      <c r="D271" s="4" t="n"/>
      <c r="K271">
        <f>IFERROR(VLOOKUP($D271,ウルトラ一覧!$A:$L,2,FALSE),"")</f>
        <v/>
      </c>
      <c r="L271">
        <f>IFERROR(VLOOKUP($D271,ウルトラ一覧!$A:$L,3,FALSE),"")</f>
        <v/>
      </c>
      <c r="M271">
        <f>IFERROR(VLOOKUP($D271,ウルトラ一覧!$A:$L,4,FALSE),"")</f>
        <v/>
      </c>
      <c r="N271">
        <f>IFERROR(VLOOKUP($D271,ウルトラ一覧!$A:$L,8,FALSE),"")</f>
        <v/>
      </c>
      <c r="O271">
        <f>IFERROR(VLOOKUP($D271,ウルトラ一覧!$A:$L,9,FALSE),"")</f>
        <v/>
      </c>
      <c r="P271">
        <f>IFERROR(VLOOKUP($D271,ウルトラ一覧!$A:$L,10,FALSE),"")</f>
        <v/>
      </c>
    </row>
    <row r="272">
      <c r="D272" s="4" t="n"/>
      <c r="K272">
        <f>IFERROR(VLOOKUP($D272,ウルトラ一覧!$A:$L,2,FALSE),"")</f>
        <v/>
      </c>
      <c r="L272">
        <f>IFERROR(VLOOKUP($D272,ウルトラ一覧!$A:$L,3,FALSE),"")</f>
        <v/>
      </c>
      <c r="M272">
        <f>IFERROR(VLOOKUP($D272,ウルトラ一覧!$A:$L,4,FALSE),"")</f>
        <v/>
      </c>
      <c r="N272">
        <f>IFERROR(VLOOKUP($D272,ウルトラ一覧!$A:$L,8,FALSE),"")</f>
        <v/>
      </c>
      <c r="O272">
        <f>IFERROR(VLOOKUP($D272,ウルトラ一覧!$A:$L,9,FALSE),"")</f>
        <v/>
      </c>
      <c r="P272">
        <f>IFERROR(VLOOKUP($D272,ウルトラ一覧!$A:$L,10,FALSE),"")</f>
        <v/>
      </c>
    </row>
    <row r="273">
      <c r="D273" s="4" t="n"/>
      <c r="K273">
        <f>IFERROR(VLOOKUP($D273,ウルトラ一覧!$A:$L,2,FALSE),"")</f>
        <v/>
      </c>
      <c r="L273">
        <f>IFERROR(VLOOKUP($D273,ウルトラ一覧!$A:$L,3,FALSE),"")</f>
        <v/>
      </c>
      <c r="M273">
        <f>IFERROR(VLOOKUP($D273,ウルトラ一覧!$A:$L,4,FALSE),"")</f>
        <v/>
      </c>
      <c r="N273">
        <f>IFERROR(VLOOKUP($D273,ウルトラ一覧!$A:$L,8,FALSE),"")</f>
        <v/>
      </c>
      <c r="O273">
        <f>IFERROR(VLOOKUP($D273,ウルトラ一覧!$A:$L,9,FALSE),"")</f>
        <v/>
      </c>
      <c r="P273">
        <f>IFERROR(VLOOKUP($D273,ウルトラ一覧!$A:$L,10,FALSE),"")</f>
        <v/>
      </c>
    </row>
    <row r="274">
      <c r="D274" s="4" t="n"/>
      <c r="K274">
        <f>IFERROR(VLOOKUP($D274,ウルトラ一覧!$A:$L,2,FALSE),"")</f>
        <v/>
      </c>
      <c r="L274">
        <f>IFERROR(VLOOKUP($D274,ウルトラ一覧!$A:$L,3,FALSE),"")</f>
        <v/>
      </c>
      <c r="M274">
        <f>IFERROR(VLOOKUP($D274,ウルトラ一覧!$A:$L,4,FALSE),"")</f>
        <v/>
      </c>
      <c r="N274">
        <f>IFERROR(VLOOKUP($D274,ウルトラ一覧!$A:$L,8,FALSE),"")</f>
        <v/>
      </c>
      <c r="O274">
        <f>IFERROR(VLOOKUP($D274,ウルトラ一覧!$A:$L,9,FALSE),"")</f>
        <v/>
      </c>
      <c r="P274">
        <f>IFERROR(VLOOKUP($D274,ウルトラ一覧!$A:$L,10,FALSE),"")</f>
        <v/>
      </c>
    </row>
    <row r="275">
      <c r="D275" s="4" t="n"/>
      <c r="K275">
        <f>IFERROR(VLOOKUP($D275,ウルトラ一覧!$A:$L,2,FALSE),"")</f>
        <v/>
      </c>
      <c r="L275">
        <f>IFERROR(VLOOKUP($D275,ウルトラ一覧!$A:$L,3,FALSE),"")</f>
        <v/>
      </c>
      <c r="M275">
        <f>IFERROR(VLOOKUP($D275,ウルトラ一覧!$A:$L,4,FALSE),"")</f>
        <v/>
      </c>
      <c r="N275">
        <f>IFERROR(VLOOKUP($D275,ウルトラ一覧!$A:$L,8,FALSE),"")</f>
        <v/>
      </c>
      <c r="O275">
        <f>IFERROR(VLOOKUP($D275,ウルトラ一覧!$A:$L,9,FALSE),"")</f>
        <v/>
      </c>
      <c r="P275">
        <f>IFERROR(VLOOKUP($D275,ウルトラ一覧!$A:$L,10,FALSE),"")</f>
        <v/>
      </c>
    </row>
    <row r="276">
      <c r="D276" s="4" t="n"/>
      <c r="K276">
        <f>IFERROR(VLOOKUP($D276,ウルトラ一覧!$A:$L,2,FALSE),"")</f>
        <v/>
      </c>
      <c r="L276">
        <f>IFERROR(VLOOKUP($D276,ウルトラ一覧!$A:$L,3,FALSE),"")</f>
        <v/>
      </c>
      <c r="M276">
        <f>IFERROR(VLOOKUP($D276,ウルトラ一覧!$A:$L,4,FALSE),"")</f>
        <v/>
      </c>
      <c r="N276">
        <f>IFERROR(VLOOKUP($D276,ウルトラ一覧!$A:$L,8,FALSE),"")</f>
        <v/>
      </c>
      <c r="O276">
        <f>IFERROR(VLOOKUP($D276,ウルトラ一覧!$A:$L,9,FALSE),"")</f>
        <v/>
      </c>
      <c r="P276">
        <f>IFERROR(VLOOKUP($D276,ウルトラ一覧!$A:$L,10,FALSE),"")</f>
        <v/>
      </c>
    </row>
    <row r="277">
      <c r="D277" s="4" t="n"/>
      <c r="K277">
        <f>IFERROR(VLOOKUP($D277,ウルトラ一覧!$A:$L,2,FALSE),"")</f>
        <v/>
      </c>
      <c r="L277">
        <f>IFERROR(VLOOKUP($D277,ウルトラ一覧!$A:$L,3,FALSE),"")</f>
        <v/>
      </c>
      <c r="M277">
        <f>IFERROR(VLOOKUP($D277,ウルトラ一覧!$A:$L,4,FALSE),"")</f>
        <v/>
      </c>
      <c r="N277">
        <f>IFERROR(VLOOKUP($D277,ウルトラ一覧!$A:$L,8,FALSE),"")</f>
        <v/>
      </c>
      <c r="O277">
        <f>IFERROR(VLOOKUP($D277,ウルトラ一覧!$A:$L,9,FALSE),"")</f>
        <v/>
      </c>
      <c r="P277">
        <f>IFERROR(VLOOKUP($D277,ウルトラ一覧!$A:$L,10,FALSE),"")</f>
        <v/>
      </c>
    </row>
    <row r="278">
      <c r="D278" s="4" t="n"/>
      <c r="K278">
        <f>IFERROR(VLOOKUP($D278,ウルトラ一覧!$A:$L,2,FALSE),"")</f>
        <v/>
      </c>
      <c r="L278">
        <f>IFERROR(VLOOKUP($D278,ウルトラ一覧!$A:$L,3,FALSE),"")</f>
        <v/>
      </c>
      <c r="M278">
        <f>IFERROR(VLOOKUP($D278,ウルトラ一覧!$A:$L,4,FALSE),"")</f>
        <v/>
      </c>
      <c r="N278">
        <f>IFERROR(VLOOKUP($D278,ウルトラ一覧!$A:$L,8,FALSE),"")</f>
        <v/>
      </c>
      <c r="O278">
        <f>IFERROR(VLOOKUP($D278,ウルトラ一覧!$A:$L,9,FALSE),"")</f>
        <v/>
      </c>
      <c r="P278">
        <f>IFERROR(VLOOKUP($D278,ウルトラ一覧!$A:$L,10,FALSE),"")</f>
        <v/>
      </c>
    </row>
    <row r="279">
      <c r="D279" s="4" t="n"/>
      <c r="K279">
        <f>IFERROR(VLOOKUP($D279,ウルトラ一覧!$A:$L,2,FALSE),"")</f>
        <v/>
      </c>
      <c r="L279">
        <f>IFERROR(VLOOKUP($D279,ウルトラ一覧!$A:$L,3,FALSE),"")</f>
        <v/>
      </c>
      <c r="M279">
        <f>IFERROR(VLOOKUP($D279,ウルトラ一覧!$A:$L,4,FALSE),"")</f>
        <v/>
      </c>
      <c r="N279">
        <f>IFERROR(VLOOKUP($D279,ウルトラ一覧!$A:$L,8,FALSE),"")</f>
        <v/>
      </c>
      <c r="O279">
        <f>IFERROR(VLOOKUP($D279,ウルトラ一覧!$A:$L,9,FALSE),"")</f>
        <v/>
      </c>
      <c r="P279">
        <f>IFERROR(VLOOKUP($D279,ウルトラ一覧!$A:$L,10,FALSE),"")</f>
        <v/>
      </c>
    </row>
    <row r="280">
      <c r="D280" s="4" t="n"/>
      <c r="K280">
        <f>IFERROR(VLOOKUP($D280,ウルトラ一覧!$A:$L,2,FALSE),"")</f>
        <v/>
      </c>
      <c r="L280">
        <f>IFERROR(VLOOKUP($D280,ウルトラ一覧!$A:$L,3,FALSE),"")</f>
        <v/>
      </c>
      <c r="M280">
        <f>IFERROR(VLOOKUP($D280,ウルトラ一覧!$A:$L,4,FALSE),"")</f>
        <v/>
      </c>
      <c r="N280">
        <f>IFERROR(VLOOKUP($D280,ウルトラ一覧!$A:$L,8,FALSE),"")</f>
        <v/>
      </c>
      <c r="O280">
        <f>IFERROR(VLOOKUP($D280,ウルトラ一覧!$A:$L,9,FALSE),"")</f>
        <v/>
      </c>
      <c r="P280">
        <f>IFERROR(VLOOKUP($D280,ウルトラ一覧!$A:$L,10,FALSE),"")</f>
        <v/>
      </c>
    </row>
    <row r="281">
      <c r="D281" s="4" t="n"/>
      <c r="K281">
        <f>IFERROR(VLOOKUP($D281,ウルトラ一覧!$A:$L,2,FALSE),"")</f>
        <v/>
      </c>
      <c r="L281">
        <f>IFERROR(VLOOKUP($D281,ウルトラ一覧!$A:$L,3,FALSE),"")</f>
        <v/>
      </c>
      <c r="M281">
        <f>IFERROR(VLOOKUP($D281,ウルトラ一覧!$A:$L,4,FALSE),"")</f>
        <v/>
      </c>
      <c r="N281">
        <f>IFERROR(VLOOKUP($D281,ウルトラ一覧!$A:$L,8,FALSE),"")</f>
        <v/>
      </c>
      <c r="O281">
        <f>IFERROR(VLOOKUP($D281,ウルトラ一覧!$A:$L,9,FALSE),"")</f>
        <v/>
      </c>
      <c r="P281">
        <f>IFERROR(VLOOKUP($D281,ウルトラ一覧!$A:$L,10,FALSE),"")</f>
        <v/>
      </c>
    </row>
    <row r="282">
      <c r="D282" s="4" t="n"/>
      <c r="K282">
        <f>IFERROR(VLOOKUP($D282,ウルトラ一覧!$A:$L,2,FALSE),"")</f>
        <v/>
      </c>
      <c r="L282">
        <f>IFERROR(VLOOKUP($D282,ウルトラ一覧!$A:$L,3,FALSE),"")</f>
        <v/>
      </c>
      <c r="M282">
        <f>IFERROR(VLOOKUP($D282,ウルトラ一覧!$A:$L,4,FALSE),"")</f>
        <v/>
      </c>
      <c r="N282">
        <f>IFERROR(VLOOKUP($D282,ウルトラ一覧!$A:$L,8,FALSE),"")</f>
        <v/>
      </c>
      <c r="O282">
        <f>IFERROR(VLOOKUP($D282,ウルトラ一覧!$A:$L,9,FALSE),"")</f>
        <v/>
      </c>
      <c r="P282">
        <f>IFERROR(VLOOKUP($D282,ウルトラ一覧!$A:$L,10,FALSE),"")</f>
        <v/>
      </c>
    </row>
    <row r="283">
      <c r="D283" s="4" t="n"/>
      <c r="K283">
        <f>IFERROR(VLOOKUP($D283,ウルトラ一覧!$A:$L,2,FALSE),"")</f>
        <v/>
      </c>
      <c r="L283">
        <f>IFERROR(VLOOKUP($D283,ウルトラ一覧!$A:$L,3,FALSE),"")</f>
        <v/>
      </c>
      <c r="M283">
        <f>IFERROR(VLOOKUP($D283,ウルトラ一覧!$A:$L,4,FALSE),"")</f>
        <v/>
      </c>
      <c r="N283">
        <f>IFERROR(VLOOKUP($D283,ウルトラ一覧!$A:$L,8,FALSE),"")</f>
        <v/>
      </c>
      <c r="O283">
        <f>IFERROR(VLOOKUP($D283,ウルトラ一覧!$A:$L,9,FALSE),"")</f>
        <v/>
      </c>
      <c r="P283">
        <f>IFERROR(VLOOKUP($D283,ウルトラ一覧!$A:$L,10,FALSE),"")</f>
        <v/>
      </c>
    </row>
    <row r="284">
      <c r="D284" s="4" t="n"/>
      <c r="K284">
        <f>IFERROR(VLOOKUP($D284,ウルトラ一覧!$A:$L,2,FALSE),"")</f>
        <v/>
      </c>
      <c r="L284">
        <f>IFERROR(VLOOKUP($D284,ウルトラ一覧!$A:$L,3,FALSE),"")</f>
        <v/>
      </c>
      <c r="M284">
        <f>IFERROR(VLOOKUP($D284,ウルトラ一覧!$A:$L,4,FALSE),"")</f>
        <v/>
      </c>
      <c r="N284">
        <f>IFERROR(VLOOKUP($D284,ウルトラ一覧!$A:$L,8,FALSE),"")</f>
        <v/>
      </c>
      <c r="O284">
        <f>IFERROR(VLOOKUP($D284,ウルトラ一覧!$A:$L,9,FALSE),"")</f>
        <v/>
      </c>
      <c r="P284">
        <f>IFERROR(VLOOKUP($D284,ウルトラ一覧!$A:$L,10,FALSE),"")</f>
        <v/>
      </c>
    </row>
    <row r="285">
      <c r="D285" s="4" t="n"/>
      <c r="K285">
        <f>IFERROR(VLOOKUP($D285,ウルトラ一覧!$A:$L,2,FALSE),"")</f>
        <v/>
      </c>
      <c r="L285">
        <f>IFERROR(VLOOKUP($D285,ウルトラ一覧!$A:$L,3,FALSE),"")</f>
        <v/>
      </c>
      <c r="M285">
        <f>IFERROR(VLOOKUP($D285,ウルトラ一覧!$A:$L,4,FALSE),"")</f>
        <v/>
      </c>
      <c r="N285">
        <f>IFERROR(VLOOKUP($D285,ウルトラ一覧!$A:$L,8,FALSE),"")</f>
        <v/>
      </c>
      <c r="O285">
        <f>IFERROR(VLOOKUP($D285,ウルトラ一覧!$A:$L,9,FALSE),"")</f>
        <v/>
      </c>
      <c r="P285">
        <f>IFERROR(VLOOKUP($D285,ウルトラ一覧!$A:$L,10,FALSE),"")</f>
        <v/>
      </c>
    </row>
    <row r="286">
      <c r="D286" s="4" t="n"/>
      <c r="K286">
        <f>IFERROR(VLOOKUP($D286,ウルトラ一覧!$A:$L,2,FALSE),"")</f>
        <v/>
      </c>
      <c r="L286">
        <f>IFERROR(VLOOKUP($D286,ウルトラ一覧!$A:$L,3,FALSE),"")</f>
        <v/>
      </c>
      <c r="M286">
        <f>IFERROR(VLOOKUP($D286,ウルトラ一覧!$A:$L,4,FALSE),"")</f>
        <v/>
      </c>
      <c r="N286">
        <f>IFERROR(VLOOKUP($D286,ウルトラ一覧!$A:$L,8,FALSE),"")</f>
        <v/>
      </c>
      <c r="O286">
        <f>IFERROR(VLOOKUP($D286,ウルトラ一覧!$A:$L,9,FALSE),"")</f>
        <v/>
      </c>
      <c r="P286">
        <f>IFERROR(VLOOKUP($D286,ウルトラ一覧!$A:$L,10,FALSE),"")</f>
        <v/>
      </c>
    </row>
    <row r="287">
      <c r="D287" s="4" t="n"/>
      <c r="K287">
        <f>IFERROR(VLOOKUP($D287,ウルトラ一覧!$A:$L,2,FALSE),"")</f>
        <v/>
      </c>
      <c r="L287">
        <f>IFERROR(VLOOKUP($D287,ウルトラ一覧!$A:$L,3,FALSE),"")</f>
        <v/>
      </c>
      <c r="M287">
        <f>IFERROR(VLOOKUP($D287,ウルトラ一覧!$A:$L,4,FALSE),"")</f>
        <v/>
      </c>
      <c r="N287">
        <f>IFERROR(VLOOKUP($D287,ウルトラ一覧!$A:$L,8,FALSE),"")</f>
        <v/>
      </c>
      <c r="O287">
        <f>IFERROR(VLOOKUP($D287,ウルトラ一覧!$A:$L,9,FALSE),"")</f>
        <v/>
      </c>
      <c r="P287">
        <f>IFERROR(VLOOKUP($D287,ウルトラ一覧!$A:$L,10,FALSE),"")</f>
        <v/>
      </c>
    </row>
    <row r="288">
      <c r="D288" s="4" t="n"/>
      <c r="K288">
        <f>IFERROR(VLOOKUP($D288,ウルトラ一覧!$A:$L,2,FALSE),"")</f>
        <v/>
      </c>
      <c r="L288">
        <f>IFERROR(VLOOKUP($D288,ウルトラ一覧!$A:$L,3,FALSE),"")</f>
        <v/>
      </c>
      <c r="M288">
        <f>IFERROR(VLOOKUP($D288,ウルトラ一覧!$A:$L,4,FALSE),"")</f>
        <v/>
      </c>
      <c r="N288">
        <f>IFERROR(VLOOKUP($D288,ウルトラ一覧!$A:$L,8,FALSE),"")</f>
        <v/>
      </c>
      <c r="O288">
        <f>IFERROR(VLOOKUP($D288,ウルトラ一覧!$A:$L,9,FALSE),"")</f>
        <v/>
      </c>
      <c r="P288">
        <f>IFERROR(VLOOKUP($D288,ウルトラ一覧!$A:$L,10,FALSE),"")</f>
        <v/>
      </c>
    </row>
    <row r="289">
      <c r="D289" s="4" t="n"/>
      <c r="K289">
        <f>IFERROR(VLOOKUP($D289,ウルトラ一覧!$A:$L,2,FALSE),"")</f>
        <v/>
      </c>
      <c r="L289">
        <f>IFERROR(VLOOKUP($D289,ウルトラ一覧!$A:$L,3,FALSE),"")</f>
        <v/>
      </c>
      <c r="M289">
        <f>IFERROR(VLOOKUP($D289,ウルトラ一覧!$A:$L,4,FALSE),"")</f>
        <v/>
      </c>
      <c r="N289">
        <f>IFERROR(VLOOKUP($D289,ウルトラ一覧!$A:$L,8,FALSE),"")</f>
        <v/>
      </c>
      <c r="O289">
        <f>IFERROR(VLOOKUP($D289,ウルトラ一覧!$A:$L,9,FALSE),"")</f>
        <v/>
      </c>
      <c r="P289">
        <f>IFERROR(VLOOKUP($D289,ウルトラ一覧!$A:$L,10,FALSE),"")</f>
        <v/>
      </c>
    </row>
    <row r="290">
      <c r="D290" s="4" t="n"/>
      <c r="K290">
        <f>IFERROR(VLOOKUP($D290,ウルトラ一覧!$A:$L,2,FALSE),"")</f>
        <v/>
      </c>
      <c r="L290">
        <f>IFERROR(VLOOKUP($D290,ウルトラ一覧!$A:$L,3,FALSE),"")</f>
        <v/>
      </c>
      <c r="M290">
        <f>IFERROR(VLOOKUP($D290,ウルトラ一覧!$A:$L,4,FALSE),"")</f>
        <v/>
      </c>
      <c r="N290">
        <f>IFERROR(VLOOKUP($D290,ウルトラ一覧!$A:$L,8,FALSE),"")</f>
        <v/>
      </c>
      <c r="O290">
        <f>IFERROR(VLOOKUP($D290,ウルトラ一覧!$A:$L,9,FALSE),"")</f>
        <v/>
      </c>
      <c r="P290">
        <f>IFERROR(VLOOKUP($D290,ウルトラ一覧!$A:$L,10,FALSE),"")</f>
        <v/>
      </c>
    </row>
    <row r="291">
      <c r="D291" s="4" t="n"/>
      <c r="K291">
        <f>IFERROR(VLOOKUP($D291,ウルトラ一覧!$A:$L,2,FALSE),"")</f>
        <v/>
      </c>
      <c r="L291">
        <f>IFERROR(VLOOKUP($D291,ウルトラ一覧!$A:$L,3,FALSE),"")</f>
        <v/>
      </c>
      <c r="M291">
        <f>IFERROR(VLOOKUP($D291,ウルトラ一覧!$A:$L,4,FALSE),"")</f>
        <v/>
      </c>
      <c r="N291">
        <f>IFERROR(VLOOKUP($D291,ウルトラ一覧!$A:$L,8,FALSE),"")</f>
        <v/>
      </c>
      <c r="O291">
        <f>IFERROR(VLOOKUP($D291,ウルトラ一覧!$A:$L,9,FALSE),"")</f>
        <v/>
      </c>
      <c r="P291">
        <f>IFERROR(VLOOKUP($D291,ウルトラ一覧!$A:$L,10,FALSE),"")</f>
        <v/>
      </c>
    </row>
    <row r="292">
      <c r="D292" s="4" t="n"/>
      <c r="K292">
        <f>IFERROR(VLOOKUP($D292,ウルトラ一覧!$A:$L,2,FALSE),"")</f>
        <v/>
      </c>
      <c r="L292">
        <f>IFERROR(VLOOKUP($D292,ウルトラ一覧!$A:$L,3,FALSE),"")</f>
        <v/>
      </c>
      <c r="M292">
        <f>IFERROR(VLOOKUP($D292,ウルトラ一覧!$A:$L,4,FALSE),"")</f>
        <v/>
      </c>
      <c r="N292">
        <f>IFERROR(VLOOKUP($D292,ウルトラ一覧!$A:$L,8,FALSE),"")</f>
        <v/>
      </c>
      <c r="O292">
        <f>IFERROR(VLOOKUP($D292,ウルトラ一覧!$A:$L,9,FALSE),"")</f>
        <v/>
      </c>
      <c r="P292">
        <f>IFERROR(VLOOKUP($D292,ウルトラ一覧!$A:$L,10,FALSE),"")</f>
        <v/>
      </c>
    </row>
    <row r="293">
      <c r="D293" s="4" t="n"/>
      <c r="K293">
        <f>IFERROR(VLOOKUP($D293,ウルトラ一覧!$A:$L,2,FALSE),"")</f>
        <v/>
      </c>
      <c r="L293">
        <f>IFERROR(VLOOKUP($D293,ウルトラ一覧!$A:$L,3,FALSE),"")</f>
        <v/>
      </c>
      <c r="M293">
        <f>IFERROR(VLOOKUP($D293,ウルトラ一覧!$A:$L,4,FALSE),"")</f>
        <v/>
      </c>
      <c r="N293">
        <f>IFERROR(VLOOKUP($D293,ウルトラ一覧!$A:$L,8,FALSE),"")</f>
        <v/>
      </c>
      <c r="O293">
        <f>IFERROR(VLOOKUP($D293,ウルトラ一覧!$A:$L,9,FALSE),"")</f>
        <v/>
      </c>
      <c r="P293">
        <f>IFERROR(VLOOKUP($D293,ウルトラ一覧!$A:$L,10,FALSE),"")</f>
        <v/>
      </c>
    </row>
    <row r="294">
      <c r="D294" s="4" t="n"/>
      <c r="K294">
        <f>IFERROR(VLOOKUP($D294,ウルトラ一覧!$A:$L,2,FALSE),"")</f>
        <v/>
      </c>
      <c r="L294">
        <f>IFERROR(VLOOKUP($D294,ウルトラ一覧!$A:$L,3,FALSE),"")</f>
        <v/>
      </c>
      <c r="M294">
        <f>IFERROR(VLOOKUP($D294,ウルトラ一覧!$A:$L,4,FALSE),"")</f>
        <v/>
      </c>
      <c r="N294">
        <f>IFERROR(VLOOKUP($D294,ウルトラ一覧!$A:$L,8,FALSE),"")</f>
        <v/>
      </c>
      <c r="O294">
        <f>IFERROR(VLOOKUP($D294,ウルトラ一覧!$A:$L,9,FALSE),"")</f>
        <v/>
      </c>
      <c r="P294">
        <f>IFERROR(VLOOKUP($D294,ウルトラ一覧!$A:$L,10,FALSE),"")</f>
        <v/>
      </c>
    </row>
    <row r="295">
      <c r="D295" s="4" t="n"/>
      <c r="K295">
        <f>IFERROR(VLOOKUP($D295,ウルトラ一覧!$A:$L,2,FALSE),"")</f>
        <v/>
      </c>
      <c r="L295">
        <f>IFERROR(VLOOKUP($D295,ウルトラ一覧!$A:$L,3,FALSE),"")</f>
        <v/>
      </c>
      <c r="M295">
        <f>IFERROR(VLOOKUP($D295,ウルトラ一覧!$A:$L,4,FALSE),"")</f>
        <v/>
      </c>
      <c r="N295">
        <f>IFERROR(VLOOKUP($D295,ウルトラ一覧!$A:$L,8,FALSE),"")</f>
        <v/>
      </c>
      <c r="O295">
        <f>IFERROR(VLOOKUP($D295,ウルトラ一覧!$A:$L,9,FALSE),"")</f>
        <v/>
      </c>
      <c r="P295">
        <f>IFERROR(VLOOKUP($D295,ウルトラ一覧!$A:$L,10,FALSE),"")</f>
        <v/>
      </c>
    </row>
    <row r="296">
      <c r="D296" s="4" t="n"/>
      <c r="K296">
        <f>IFERROR(VLOOKUP($D296,ウルトラ一覧!$A:$L,2,FALSE),"")</f>
        <v/>
      </c>
      <c r="L296">
        <f>IFERROR(VLOOKUP($D296,ウルトラ一覧!$A:$L,3,FALSE),"")</f>
        <v/>
      </c>
      <c r="M296">
        <f>IFERROR(VLOOKUP($D296,ウルトラ一覧!$A:$L,4,FALSE),"")</f>
        <v/>
      </c>
      <c r="N296">
        <f>IFERROR(VLOOKUP($D296,ウルトラ一覧!$A:$L,8,FALSE),"")</f>
        <v/>
      </c>
      <c r="O296">
        <f>IFERROR(VLOOKUP($D296,ウルトラ一覧!$A:$L,9,FALSE),"")</f>
        <v/>
      </c>
      <c r="P296">
        <f>IFERROR(VLOOKUP($D296,ウルトラ一覧!$A:$L,10,FALSE),"")</f>
        <v/>
      </c>
    </row>
    <row r="297">
      <c r="D297" s="4" t="n"/>
      <c r="K297">
        <f>IFERROR(VLOOKUP($D297,ウルトラ一覧!$A:$L,2,FALSE),"")</f>
        <v/>
      </c>
      <c r="L297">
        <f>IFERROR(VLOOKUP($D297,ウルトラ一覧!$A:$L,3,FALSE),"")</f>
        <v/>
      </c>
      <c r="M297">
        <f>IFERROR(VLOOKUP($D297,ウルトラ一覧!$A:$L,4,FALSE),"")</f>
        <v/>
      </c>
      <c r="N297">
        <f>IFERROR(VLOOKUP($D297,ウルトラ一覧!$A:$L,8,FALSE),"")</f>
        <v/>
      </c>
      <c r="O297">
        <f>IFERROR(VLOOKUP($D297,ウルトラ一覧!$A:$L,9,FALSE),"")</f>
        <v/>
      </c>
      <c r="P297">
        <f>IFERROR(VLOOKUP($D297,ウルトラ一覧!$A:$L,10,FALSE),"")</f>
        <v/>
      </c>
    </row>
    <row r="298">
      <c r="D298" s="4" t="n"/>
      <c r="K298">
        <f>IFERROR(VLOOKUP($D298,ウルトラ一覧!$A:$L,2,FALSE),"")</f>
        <v/>
      </c>
      <c r="L298">
        <f>IFERROR(VLOOKUP($D298,ウルトラ一覧!$A:$L,3,FALSE),"")</f>
        <v/>
      </c>
      <c r="M298">
        <f>IFERROR(VLOOKUP($D298,ウルトラ一覧!$A:$L,4,FALSE),"")</f>
        <v/>
      </c>
      <c r="N298">
        <f>IFERROR(VLOOKUP($D298,ウルトラ一覧!$A:$L,8,FALSE),"")</f>
        <v/>
      </c>
      <c r="O298">
        <f>IFERROR(VLOOKUP($D298,ウルトラ一覧!$A:$L,9,FALSE),"")</f>
        <v/>
      </c>
      <c r="P298">
        <f>IFERROR(VLOOKUP($D298,ウルトラ一覧!$A:$L,10,FALSE),"")</f>
        <v/>
      </c>
    </row>
    <row r="299">
      <c r="D299" s="4" t="n"/>
      <c r="K299">
        <f>IFERROR(VLOOKUP($D299,ウルトラ一覧!$A:$L,2,FALSE),"")</f>
        <v/>
      </c>
      <c r="L299">
        <f>IFERROR(VLOOKUP($D299,ウルトラ一覧!$A:$L,3,FALSE),"")</f>
        <v/>
      </c>
      <c r="M299">
        <f>IFERROR(VLOOKUP($D299,ウルトラ一覧!$A:$L,4,FALSE),"")</f>
        <v/>
      </c>
      <c r="N299">
        <f>IFERROR(VLOOKUP($D299,ウルトラ一覧!$A:$L,8,FALSE),"")</f>
        <v/>
      </c>
      <c r="O299">
        <f>IFERROR(VLOOKUP($D299,ウルトラ一覧!$A:$L,9,FALSE),"")</f>
        <v/>
      </c>
      <c r="P299">
        <f>IFERROR(VLOOKUP($D299,ウルトラ一覧!$A:$L,10,FALSE),"")</f>
        <v/>
      </c>
    </row>
    <row r="300">
      <c r="D300" s="4" t="n"/>
      <c r="K300">
        <f>IFERROR(VLOOKUP($D300,ウルトラ一覧!$A:$L,2,FALSE),"")</f>
        <v/>
      </c>
      <c r="L300">
        <f>IFERROR(VLOOKUP($D300,ウルトラ一覧!$A:$L,3,FALSE),"")</f>
        <v/>
      </c>
      <c r="M300">
        <f>IFERROR(VLOOKUP($D300,ウルトラ一覧!$A:$L,4,FALSE),"")</f>
        <v/>
      </c>
      <c r="N300">
        <f>IFERROR(VLOOKUP($D300,ウルトラ一覧!$A:$L,8,FALSE),"")</f>
        <v/>
      </c>
      <c r="O300">
        <f>IFERROR(VLOOKUP($D300,ウルトラ一覧!$A:$L,9,FALSE),"")</f>
        <v/>
      </c>
      <c r="P300">
        <f>IFERROR(VLOOKUP($D300,ウルトラ一覧!$A:$L,10,FALSE),"")</f>
        <v/>
      </c>
    </row>
    <row r="301">
      <c r="D301" s="4" t="n"/>
      <c r="K301">
        <f>IFERROR(VLOOKUP($D301,ウルトラ一覧!$A:$L,2,FALSE),"")</f>
        <v/>
      </c>
      <c r="L301">
        <f>IFERROR(VLOOKUP($D301,ウルトラ一覧!$A:$L,3,FALSE),"")</f>
        <v/>
      </c>
      <c r="M301">
        <f>IFERROR(VLOOKUP($D301,ウルトラ一覧!$A:$L,4,FALSE),"")</f>
        <v/>
      </c>
      <c r="N301">
        <f>IFERROR(VLOOKUP($D301,ウルトラ一覧!$A:$L,8,FALSE),"")</f>
        <v/>
      </c>
      <c r="O301">
        <f>IFERROR(VLOOKUP($D301,ウルトラ一覧!$A:$L,9,FALSE),"")</f>
        <v/>
      </c>
      <c r="P301">
        <f>IFERROR(VLOOKUP($D301,ウルトラ一覧!$A:$L,10,FALSE),"")</f>
        <v/>
      </c>
    </row>
    <row r="302">
      <c r="D302" s="4" t="n"/>
      <c r="K302">
        <f>IFERROR(VLOOKUP($D302,ウルトラ一覧!$A:$L,2,FALSE),"")</f>
        <v/>
      </c>
      <c r="L302">
        <f>IFERROR(VLOOKUP($D302,ウルトラ一覧!$A:$L,3,FALSE),"")</f>
        <v/>
      </c>
      <c r="M302">
        <f>IFERROR(VLOOKUP($D302,ウルトラ一覧!$A:$L,4,FALSE),"")</f>
        <v/>
      </c>
      <c r="N302">
        <f>IFERROR(VLOOKUP($D302,ウルトラ一覧!$A:$L,8,FALSE),"")</f>
        <v/>
      </c>
      <c r="O302">
        <f>IFERROR(VLOOKUP($D302,ウルトラ一覧!$A:$L,9,FALSE),"")</f>
        <v/>
      </c>
      <c r="P302">
        <f>IFERROR(VLOOKUP($D302,ウルトラ一覧!$A:$L,10,FALSE),"")</f>
        <v/>
      </c>
    </row>
    <row r="303">
      <c r="D303" s="4" t="n"/>
      <c r="K303">
        <f>IFERROR(VLOOKUP($D303,ウルトラ一覧!$A:$L,2,FALSE),"")</f>
        <v/>
      </c>
      <c r="L303">
        <f>IFERROR(VLOOKUP($D303,ウルトラ一覧!$A:$L,3,FALSE),"")</f>
        <v/>
      </c>
      <c r="M303">
        <f>IFERROR(VLOOKUP($D303,ウルトラ一覧!$A:$L,4,FALSE),"")</f>
        <v/>
      </c>
      <c r="N303">
        <f>IFERROR(VLOOKUP($D303,ウルトラ一覧!$A:$L,8,FALSE),"")</f>
        <v/>
      </c>
      <c r="O303">
        <f>IFERROR(VLOOKUP($D303,ウルトラ一覧!$A:$L,9,FALSE),"")</f>
        <v/>
      </c>
      <c r="P303">
        <f>IFERROR(VLOOKUP($D303,ウルトラ一覧!$A:$L,10,FALSE),"")</f>
        <v/>
      </c>
    </row>
    <row r="304">
      <c r="D304" s="4" t="n"/>
      <c r="K304">
        <f>IFERROR(VLOOKUP($D304,ウルトラ一覧!$A:$L,2,FALSE),"")</f>
        <v/>
      </c>
      <c r="L304">
        <f>IFERROR(VLOOKUP($D304,ウルトラ一覧!$A:$L,3,FALSE),"")</f>
        <v/>
      </c>
      <c r="M304">
        <f>IFERROR(VLOOKUP($D304,ウルトラ一覧!$A:$L,4,FALSE),"")</f>
        <v/>
      </c>
      <c r="N304">
        <f>IFERROR(VLOOKUP($D304,ウルトラ一覧!$A:$L,8,FALSE),"")</f>
        <v/>
      </c>
      <c r="O304">
        <f>IFERROR(VLOOKUP($D304,ウルトラ一覧!$A:$L,9,FALSE),"")</f>
        <v/>
      </c>
      <c r="P304">
        <f>IFERROR(VLOOKUP($D304,ウルトラ一覧!$A:$L,10,FALSE),"")</f>
        <v/>
      </c>
    </row>
    <row r="305">
      <c r="D305" s="4" t="n"/>
      <c r="K305">
        <f>IFERROR(VLOOKUP($D305,ウルトラ一覧!$A:$L,2,FALSE),"")</f>
        <v/>
      </c>
      <c r="L305">
        <f>IFERROR(VLOOKUP($D305,ウルトラ一覧!$A:$L,3,FALSE),"")</f>
        <v/>
      </c>
      <c r="M305">
        <f>IFERROR(VLOOKUP($D305,ウルトラ一覧!$A:$L,4,FALSE),"")</f>
        <v/>
      </c>
      <c r="N305">
        <f>IFERROR(VLOOKUP($D305,ウルトラ一覧!$A:$L,8,FALSE),"")</f>
        <v/>
      </c>
      <c r="O305">
        <f>IFERROR(VLOOKUP($D305,ウルトラ一覧!$A:$L,9,FALSE),"")</f>
        <v/>
      </c>
      <c r="P305">
        <f>IFERROR(VLOOKUP($D305,ウルトラ一覧!$A:$L,10,FALSE),"")</f>
        <v/>
      </c>
    </row>
    <row r="306">
      <c r="D306" s="4" t="n"/>
      <c r="K306">
        <f>IFERROR(VLOOKUP($D306,ウルトラ一覧!$A:$L,2,FALSE),"")</f>
        <v/>
      </c>
      <c r="L306">
        <f>IFERROR(VLOOKUP($D306,ウルトラ一覧!$A:$L,3,FALSE),"")</f>
        <v/>
      </c>
      <c r="M306">
        <f>IFERROR(VLOOKUP($D306,ウルトラ一覧!$A:$L,4,FALSE),"")</f>
        <v/>
      </c>
      <c r="N306">
        <f>IFERROR(VLOOKUP($D306,ウルトラ一覧!$A:$L,8,FALSE),"")</f>
        <v/>
      </c>
      <c r="O306">
        <f>IFERROR(VLOOKUP($D306,ウルトラ一覧!$A:$L,9,FALSE),"")</f>
        <v/>
      </c>
      <c r="P306">
        <f>IFERROR(VLOOKUP($D306,ウルトラ一覧!$A:$L,10,FALSE),"")</f>
        <v/>
      </c>
    </row>
    <row r="307">
      <c r="D307" s="4" t="n"/>
      <c r="K307">
        <f>IFERROR(VLOOKUP($D307,ウルトラ一覧!$A:$L,2,FALSE),"")</f>
        <v/>
      </c>
      <c r="L307">
        <f>IFERROR(VLOOKUP($D307,ウルトラ一覧!$A:$L,3,FALSE),"")</f>
        <v/>
      </c>
      <c r="M307">
        <f>IFERROR(VLOOKUP($D307,ウルトラ一覧!$A:$L,4,FALSE),"")</f>
        <v/>
      </c>
      <c r="N307">
        <f>IFERROR(VLOOKUP($D307,ウルトラ一覧!$A:$L,8,FALSE),"")</f>
        <v/>
      </c>
      <c r="O307">
        <f>IFERROR(VLOOKUP($D307,ウルトラ一覧!$A:$L,9,FALSE),"")</f>
        <v/>
      </c>
      <c r="P307">
        <f>IFERROR(VLOOKUP($D307,ウルトラ一覧!$A:$L,10,FALSE),"")</f>
        <v/>
      </c>
    </row>
    <row r="308">
      <c r="D308" s="4" t="n"/>
      <c r="K308">
        <f>IFERROR(VLOOKUP($D308,ウルトラ一覧!$A:$L,2,FALSE),"")</f>
        <v/>
      </c>
      <c r="L308">
        <f>IFERROR(VLOOKUP($D308,ウルトラ一覧!$A:$L,3,FALSE),"")</f>
        <v/>
      </c>
      <c r="M308">
        <f>IFERROR(VLOOKUP($D308,ウルトラ一覧!$A:$L,4,FALSE),"")</f>
        <v/>
      </c>
      <c r="N308">
        <f>IFERROR(VLOOKUP($D308,ウルトラ一覧!$A:$L,8,FALSE),"")</f>
        <v/>
      </c>
      <c r="O308">
        <f>IFERROR(VLOOKUP($D308,ウルトラ一覧!$A:$L,9,FALSE),"")</f>
        <v/>
      </c>
      <c r="P308">
        <f>IFERROR(VLOOKUP($D308,ウルトラ一覧!$A:$L,10,FALSE),"")</f>
        <v/>
      </c>
    </row>
    <row r="309">
      <c r="D309" s="4" t="n"/>
      <c r="K309">
        <f>IFERROR(VLOOKUP($D309,ウルトラ一覧!$A:$L,2,FALSE),"")</f>
        <v/>
      </c>
      <c r="L309">
        <f>IFERROR(VLOOKUP($D309,ウルトラ一覧!$A:$L,3,FALSE),"")</f>
        <v/>
      </c>
      <c r="M309">
        <f>IFERROR(VLOOKUP($D309,ウルトラ一覧!$A:$L,4,FALSE),"")</f>
        <v/>
      </c>
      <c r="N309">
        <f>IFERROR(VLOOKUP($D309,ウルトラ一覧!$A:$L,8,FALSE),"")</f>
        <v/>
      </c>
      <c r="O309">
        <f>IFERROR(VLOOKUP($D309,ウルトラ一覧!$A:$L,9,FALSE),"")</f>
        <v/>
      </c>
      <c r="P309">
        <f>IFERROR(VLOOKUP($D309,ウルトラ一覧!$A:$L,10,FALSE),"")</f>
        <v/>
      </c>
    </row>
    <row r="310">
      <c r="D310" s="4" t="n"/>
      <c r="K310">
        <f>IFERROR(VLOOKUP($D310,ウルトラ一覧!$A:$L,2,FALSE),"")</f>
        <v/>
      </c>
      <c r="L310">
        <f>IFERROR(VLOOKUP($D310,ウルトラ一覧!$A:$L,3,FALSE),"")</f>
        <v/>
      </c>
      <c r="M310">
        <f>IFERROR(VLOOKUP($D310,ウルトラ一覧!$A:$L,4,FALSE),"")</f>
        <v/>
      </c>
      <c r="N310">
        <f>IFERROR(VLOOKUP($D310,ウルトラ一覧!$A:$L,8,FALSE),"")</f>
        <v/>
      </c>
      <c r="O310">
        <f>IFERROR(VLOOKUP($D310,ウルトラ一覧!$A:$L,9,FALSE),"")</f>
        <v/>
      </c>
      <c r="P310">
        <f>IFERROR(VLOOKUP($D310,ウルトラ一覧!$A:$L,10,FALSE),"")</f>
        <v/>
      </c>
    </row>
    <row r="311">
      <c r="D311" s="4" t="n"/>
      <c r="K311">
        <f>IFERROR(VLOOKUP($D311,ウルトラ一覧!$A:$L,2,FALSE),"")</f>
        <v/>
      </c>
      <c r="L311">
        <f>IFERROR(VLOOKUP($D311,ウルトラ一覧!$A:$L,3,FALSE),"")</f>
        <v/>
      </c>
      <c r="M311">
        <f>IFERROR(VLOOKUP($D311,ウルトラ一覧!$A:$L,4,FALSE),"")</f>
        <v/>
      </c>
      <c r="N311">
        <f>IFERROR(VLOOKUP($D311,ウルトラ一覧!$A:$L,8,FALSE),"")</f>
        <v/>
      </c>
      <c r="O311">
        <f>IFERROR(VLOOKUP($D311,ウルトラ一覧!$A:$L,9,FALSE),"")</f>
        <v/>
      </c>
      <c r="P311">
        <f>IFERROR(VLOOKUP($D311,ウルトラ一覧!$A:$L,10,FALSE),"")</f>
        <v/>
      </c>
    </row>
    <row r="312">
      <c r="D312" s="4" t="n"/>
      <c r="K312">
        <f>IFERROR(VLOOKUP($D312,ウルトラ一覧!$A:$L,2,FALSE),"")</f>
        <v/>
      </c>
      <c r="L312">
        <f>IFERROR(VLOOKUP($D312,ウルトラ一覧!$A:$L,3,FALSE),"")</f>
        <v/>
      </c>
      <c r="M312">
        <f>IFERROR(VLOOKUP($D312,ウルトラ一覧!$A:$L,4,FALSE),"")</f>
        <v/>
      </c>
      <c r="N312">
        <f>IFERROR(VLOOKUP($D312,ウルトラ一覧!$A:$L,8,FALSE),"")</f>
        <v/>
      </c>
      <c r="O312">
        <f>IFERROR(VLOOKUP($D312,ウルトラ一覧!$A:$L,9,FALSE),"")</f>
        <v/>
      </c>
      <c r="P312">
        <f>IFERROR(VLOOKUP($D312,ウルトラ一覧!$A:$L,10,FALSE),"")</f>
        <v/>
      </c>
    </row>
    <row r="313">
      <c r="D313" s="4" t="n"/>
      <c r="K313">
        <f>IFERROR(VLOOKUP($D313,ウルトラ一覧!$A:$L,2,FALSE),"")</f>
        <v/>
      </c>
      <c r="L313">
        <f>IFERROR(VLOOKUP($D313,ウルトラ一覧!$A:$L,3,FALSE),"")</f>
        <v/>
      </c>
      <c r="M313">
        <f>IFERROR(VLOOKUP($D313,ウルトラ一覧!$A:$L,4,FALSE),"")</f>
        <v/>
      </c>
      <c r="N313">
        <f>IFERROR(VLOOKUP($D313,ウルトラ一覧!$A:$L,8,FALSE),"")</f>
        <v/>
      </c>
      <c r="O313">
        <f>IFERROR(VLOOKUP($D313,ウルトラ一覧!$A:$L,9,FALSE),"")</f>
        <v/>
      </c>
      <c r="P313">
        <f>IFERROR(VLOOKUP($D313,ウルトラ一覧!$A:$L,10,FALSE),"")</f>
        <v/>
      </c>
    </row>
    <row r="314">
      <c r="D314" s="4" t="n"/>
      <c r="K314">
        <f>IFERROR(VLOOKUP($D314,ウルトラ一覧!$A:$L,2,FALSE),"")</f>
        <v/>
      </c>
      <c r="L314">
        <f>IFERROR(VLOOKUP($D314,ウルトラ一覧!$A:$L,3,FALSE),"")</f>
        <v/>
      </c>
      <c r="M314">
        <f>IFERROR(VLOOKUP($D314,ウルトラ一覧!$A:$L,4,FALSE),"")</f>
        <v/>
      </c>
      <c r="N314">
        <f>IFERROR(VLOOKUP($D314,ウルトラ一覧!$A:$L,8,FALSE),"")</f>
        <v/>
      </c>
      <c r="O314">
        <f>IFERROR(VLOOKUP($D314,ウルトラ一覧!$A:$L,9,FALSE),"")</f>
        <v/>
      </c>
      <c r="P314">
        <f>IFERROR(VLOOKUP($D314,ウルトラ一覧!$A:$L,10,FALSE),"")</f>
        <v/>
      </c>
    </row>
    <row r="315">
      <c r="D315" s="4" t="n"/>
      <c r="K315">
        <f>IFERROR(VLOOKUP($D315,ウルトラ一覧!$A:$L,2,FALSE),"")</f>
        <v/>
      </c>
      <c r="L315">
        <f>IFERROR(VLOOKUP($D315,ウルトラ一覧!$A:$L,3,FALSE),"")</f>
        <v/>
      </c>
      <c r="M315">
        <f>IFERROR(VLOOKUP($D315,ウルトラ一覧!$A:$L,4,FALSE),"")</f>
        <v/>
      </c>
      <c r="N315">
        <f>IFERROR(VLOOKUP($D315,ウルトラ一覧!$A:$L,8,FALSE),"")</f>
        <v/>
      </c>
      <c r="O315">
        <f>IFERROR(VLOOKUP($D315,ウルトラ一覧!$A:$L,9,FALSE),"")</f>
        <v/>
      </c>
      <c r="P315">
        <f>IFERROR(VLOOKUP($D315,ウルトラ一覧!$A:$L,10,FALSE),"")</f>
        <v/>
      </c>
    </row>
    <row r="316">
      <c r="D316" s="4" t="n"/>
      <c r="K316">
        <f>IFERROR(VLOOKUP($D316,ウルトラ一覧!$A:$L,2,FALSE),"")</f>
        <v/>
      </c>
      <c r="L316">
        <f>IFERROR(VLOOKUP($D316,ウルトラ一覧!$A:$L,3,FALSE),"")</f>
        <v/>
      </c>
      <c r="M316">
        <f>IFERROR(VLOOKUP($D316,ウルトラ一覧!$A:$L,4,FALSE),"")</f>
        <v/>
      </c>
      <c r="N316">
        <f>IFERROR(VLOOKUP($D316,ウルトラ一覧!$A:$L,8,FALSE),"")</f>
        <v/>
      </c>
      <c r="O316">
        <f>IFERROR(VLOOKUP($D316,ウルトラ一覧!$A:$L,9,FALSE),"")</f>
        <v/>
      </c>
      <c r="P316">
        <f>IFERROR(VLOOKUP($D316,ウルトラ一覧!$A:$L,10,FALSE),"")</f>
        <v/>
      </c>
    </row>
    <row r="317">
      <c r="D317" s="4" t="n"/>
      <c r="K317">
        <f>IFERROR(VLOOKUP($D317,ウルトラ一覧!$A:$L,2,FALSE),"")</f>
        <v/>
      </c>
      <c r="L317">
        <f>IFERROR(VLOOKUP($D317,ウルトラ一覧!$A:$L,3,FALSE),"")</f>
        <v/>
      </c>
      <c r="M317">
        <f>IFERROR(VLOOKUP($D317,ウルトラ一覧!$A:$L,4,FALSE),"")</f>
        <v/>
      </c>
      <c r="N317">
        <f>IFERROR(VLOOKUP($D317,ウルトラ一覧!$A:$L,8,FALSE),"")</f>
        <v/>
      </c>
      <c r="O317">
        <f>IFERROR(VLOOKUP($D317,ウルトラ一覧!$A:$L,9,FALSE),"")</f>
        <v/>
      </c>
      <c r="P317">
        <f>IFERROR(VLOOKUP($D317,ウルトラ一覧!$A:$L,10,FALSE),"")</f>
        <v/>
      </c>
    </row>
    <row r="318">
      <c r="D318" s="4" t="n"/>
      <c r="K318">
        <f>IFERROR(VLOOKUP($D318,ウルトラ一覧!$A:$L,2,FALSE),"")</f>
        <v/>
      </c>
      <c r="L318">
        <f>IFERROR(VLOOKUP($D318,ウルトラ一覧!$A:$L,3,FALSE),"")</f>
        <v/>
      </c>
      <c r="M318">
        <f>IFERROR(VLOOKUP($D318,ウルトラ一覧!$A:$L,4,FALSE),"")</f>
        <v/>
      </c>
      <c r="N318">
        <f>IFERROR(VLOOKUP($D318,ウルトラ一覧!$A:$L,8,FALSE),"")</f>
        <v/>
      </c>
      <c r="O318">
        <f>IFERROR(VLOOKUP($D318,ウルトラ一覧!$A:$L,9,FALSE),"")</f>
        <v/>
      </c>
      <c r="P318">
        <f>IFERROR(VLOOKUP($D318,ウルトラ一覧!$A:$L,10,FALSE),"")</f>
        <v/>
      </c>
    </row>
    <row r="319">
      <c r="D319" s="4" t="n"/>
      <c r="K319">
        <f>IFERROR(VLOOKUP($D319,ウルトラ一覧!$A:$L,2,FALSE),"")</f>
        <v/>
      </c>
      <c r="L319">
        <f>IFERROR(VLOOKUP($D319,ウルトラ一覧!$A:$L,3,FALSE),"")</f>
        <v/>
      </c>
      <c r="M319">
        <f>IFERROR(VLOOKUP($D319,ウルトラ一覧!$A:$L,4,FALSE),"")</f>
        <v/>
      </c>
      <c r="N319">
        <f>IFERROR(VLOOKUP($D319,ウルトラ一覧!$A:$L,8,FALSE),"")</f>
        <v/>
      </c>
      <c r="O319">
        <f>IFERROR(VLOOKUP($D319,ウルトラ一覧!$A:$L,9,FALSE),"")</f>
        <v/>
      </c>
      <c r="P319">
        <f>IFERROR(VLOOKUP($D319,ウルトラ一覧!$A:$L,10,FALSE),"")</f>
        <v/>
      </c>
    </row>
    <row r="320">
      <c r="D320" s="4" t="n"/>
      <c r="K320">
        <f>IFERROR(VLOOKUP($D320,ウルトラ一覧!$A:$L,2,FALSE),"")</f>
        <v/>
      </c>
      <c r="L320">
        <f>IFERROR(VLOOKUP($D320,ウルトラ一覧!$A:$L,3,FALSE),"")</f>
        <v/>
      </c>
      <c r="M320">
        <f>IFERROR(VLOOKUP($D320,ウルトラ一覧!$A:$L,4,FALSE),"")</f>
        <v/>
      </c>
      <c r="N320">
        <f>IFERROR(VLOOKUP($D320,ウルトラ一覧!$A:$L,8,FALSE),"")</f>
        <v/>
      </c>
      <c r="O320">
        <f>IFERROR(VLOOKUP($D320,ウルトラ一覧!$A:$L,9,FALSE),"")</f>
        <v/>
      </c>
      <c r="P320">
        <f>IFERROR(VLOOKUP($D320,ウルトラ一覧!$A:$L,10,FALSE),"")</f>
        <v/>
      </c>
    </row>
    <row r="321">
      <c r="D321" s="4" t="n"/>
      <c r="K321">
        <f>IFERROR(VLOOKUP($D321,ウルトラ一覧!$A:$L,2,FALSE),"")</f>
        <v/>
      </c>
      <c r="L321">
        <f>IFERROR(VLOOKUP($D321,ウルトラ一覧!$A:$L,3,FALSE),"")</f>
        <v/>
      </c>
      <c r="M321">
        <f>IFERROR(VLOOKUP($D321,ウルトラ一覧!$A:$L,4,FALSE),"")</f>
        <v/>
      </c>
      <c r="N321">
        <f>IFERROR(VLOOKUP($D321,ウルトラ一覧!$A:$L,8,FALSE),"")</f>
        <v/>
      </c>
      <c r="O321">
        <f>IFERROR(VLOOKUP($D321,ウルトラ一覧!$A:$L,9,FALSE),"")</f>
        <v/>
      </c>
      <c r="P321">
        <f>IFERROR(VLOOKUP($D321,ウルトラ一覧!$A:$L,10,FALSE),"")</f>
        <v/>
      </c>
    </row>
    <row r="322">
      <c r="D322" s="4" t="n"/>
      <c r="K322">
        <f>IFERROR(VLOOKUP($D322,ウルトラ一覧!$A:$L,2,FALSE),"")</f>
        <v/>
      </c>
      <c r="L322">
        <f>IFERROR(VLOOKUP($D322,ウルトラ一覧!$A:$L,3,FALSE),"")</f>
        <v/>
      </c>
      <c r="M322">
        <f>IFERROR(VLOOKUP($D322,ウルトラ一覧!$A:$L,4,FALSE),"")</f>
        <v/>
      </c>
      <c r="N322">
        <f>IFERROR(VLOOKUP($D322,ウルトラ一覧!$A:$L,8,FALSE),"")</f>
        <v/>
      </c>
      <c r="O322">
        <f>IFERROR(VLOOKUP($D322,ウルトラ一覧!$A:$L,9,FALSE),"")</f>
        <v/>
      </c>
      <c r="P322">
        <f>IFERROR(VLOOKUP($D322,ウルトラ一覧!$A:$L,10,FALSE),"")</f>
        <v/>
      </c>
    </row>
    <row r="323">
      <c r="D323" s="4" t="n"/>
      <c r="K323">
        <f>IFERROR(VLOOKUP($D323,ウルトラ一覧!$A:$L,2,FALSE),"")</f>
        <v/>
      </c>
      <c r="L323">
        <f>IFERROR(VLOOKUP($D323,ウルトラ一覧!$A:$L,3,FALSE),"")</f>
        <v/>
      </c>
      <c r="M323">
        <f>IFERROR(VLOOKUP($D323,ウルトラ一覧!$A:$L,4,FALSE),"")</f>
        <v/>
      </c>
      <c r="N323">
        <f>IFERROR(VLOOKUP($D323,ウルトラ一覧!$A:$L,8,FALSE),"")</f>
        <v/>
      </c>
      <c r="O323">
        <f>IFERROR(VLOOKUP($D323,ウルトラ一覧!$A:$L,9,FALSE),"")</f>
        <v/>
      </c>
      <c r="P323">
        <f>IFERROR(VLOOKUP($D323,ウルトラ一覧!$A:$L,10,FALSE),"")</f>
        <v/>
      </c>
    </row>
    <row r="324">
      <c r="D324" s="4" t="n"/>
      <c r="K324">
        <f>IFERROR(VLOOKUP($D324,ウルトラ一覧!$A:$L,2,FALSE),"")</f>
        <v/>
      </c>
      <c r="L324">
        <f>IFERROR(VLOOKUP($D324,ウルトラ一覧!$A:$L,3,FALSE),"")</f>
        <v/>
      </c>
      <c r="M324">
        <f>IFERROR(VLOOKUP($D324,ウルトラ一覧!$A:$L,4,FALSE),"")</f>
        <v/>
      </c>
      <c r="N324">
        <f>IFERROR(VLOOKUP($D324,ウルトラ一覧!$A:$L,8,FALSE),"")</f>
        <v/>
      </c>
      <c r="O324">
        <f>IFERROR(VLOOKUP($D324,ウルトラ一覧!$A:$L,9,FALSE),"")</f>
        <v/>
      </c>
      <c r="P324">
        <f>IFERROR(VLOOKUP($D324,ウルトラ一覧!$A:$L,10,FALSE),"")</f>
        <v/>
      </c>
    </row>
    <row r="325">
      <c r="D325" s="4" t="n"/>
      <c r="K325">
        <f>IFERROR(VLOOKUP($D325,ウルトラ一覧!$A:$L,2,FALSE),"")</f>
        <v/>
      </c>
      <c r="L325">
        <f>IFERROR(VLOOKUP($D325,ウルトラ一覧!$A:$L,3,FALSE),"")</f>
        <v/>
      </c>
      <c r="M325">
        <f>IFERROR(VLOOKUP($D325,ウルトラ一覧!$A:$L,4,FALSE),"")</f>
        <v/>
      </c>
      <c r="N325">
        <f>IFERROR(VLOOKUP($D325,ウルトラ一覧!$A:$L,8,FALSE),"")</f>
        <v/>
      </c>
      <c r="O325">
        <f>IFERROR(VLOOKUP($D325,ウルトラ一覧!$A:$L,9,FALSE),"")</f>
        <v/>
      </c>
      <c r="P325">
        <f>IFERROR(VLOOKUP($D325,ウルトラ一覧!$A:$L,10,FALSE),"")</f>
        <v/>
      </c>
    </row>
    <row r="326">
      <c r="D326" s="4" t="n"/>
      <c r="K326">
        <f>IFERROR(VLOOKUP($D326,ウルトラ一覧!$A:$L,2,FALSE),"")</f>
        <v/>
      </c>
      <c r="L326">
        <f>IFERROR(VLOOKUP($D326,ウルトラ一覧!$A:$L,3,FALSE),"")</f>
        <v/>
      </c>
      <c r="M326">
        <f>IFERROR(VLOOKUP($D326,ウルトラ一覧!$A:$L,4,FALSE),"")</f>
        <v/>
      </c>
      <c r="N326">
        <f>IFERROR(VLOOKUP($D326,ウルトラ一覧!$A:$L,8,FALSE),"")</f>
        <v/>
      </c>
      <c r="O326">
        <f>IFERROR(VLOOKUP($D326,ウルトラ一覧!$A:$L,9,FALSE),"")</f>
        <v/>
      </c>
      <c r="P326">
        <f>IFERROR(VLOOKUP($D326,ウルトラ一覧!$A:$L,10,FALSE),"")</f>
        <v/>
      </c>
    </row>
    <row r="327">
      <c r="D327" s="4" t="n"/>
      <c r="K327">
        <f>IFERROR(VLOOKUP($D327,ウルトラ一覧!$A:$L,2,FALSE),"")</f>
        <v/>
      </c>
      <c r="L327">
        <f>IFERROR(VLOOKUP($D327,ウルトラ一覧!$A:$L,3,FALSE),"")</f>
        <v/>
      </c>
      <c r="M327">
        <f>IFERROR(VLOOKUP($D327,ウルトラ一覧!$A:$L,4,FALSE),"")</f>
        <v/>
      </c>
      <c r="N327">
        <f>IFERROR(VLOOKUP($D327,ウルトラ一覧!$A:$L,8,FALSE),"")</f>
        <v/>
      </c>
      <c r="O327">
        <f>IFERROR(VLOOKUP($D327,ウルトラ一覧!$A:$L,9,FALSE),"")</f>
        <v/>
      </c>
      <c r="P327">
        <f>IFERROR(VLOOKUP($D327,ウルトラ一覧!$A:$L,10,FALSE),"")</f>
        <v/>
      </c>
    </row>
    <row r="328">
      <c r="D328" s="4" t="n"/>
      <c r="K328">
        <f>IFERROR(VLOOKUP($D328,ウルトラ一覧!$A:$L,2,FALSE),"")</f>
        <v/>
      </c>
      <c r="L328">
        <f>IFERROR(VLOOKUP($D328,ウルトラ一覧!$A:$L,3,FALSE),"")</f>
        <v/>
      </c>
      <c r="M328">
        <f>IFERROR(VLOOKUP($D328,ウルトラ一覧!$A:$L,4,FALSE),"")</f>
        <v/>
      </c>
      <c r="N328">
        <f>IFERROR(VLOOKUP($D328,ウルトラ一覧!$A:$L,8,FALSE),"")</f>
        <v/>
      </c>
      <c r="O328">
        <f>IFERROR(VLOOKUP($D328,ウルトラ一覧!$A:$L,9,FALSE),"")</f>
        <v/>
      </c>
      <c r="P328">
        <f>IFERROR(VLOOKUP($D328,ウルトラ一覧!$A:$L,10,FALSE),"")</f>
        <v/>
      </c>
    </row>
    <row r="329">
      <c r="D329" s="4" t="n"/>
      <c r="K329">
        <f>IFERROR(VLOOKUP($D329,ウルトラ一覧!$A:$L,2,FALSE),"")</f>
        <v/>
      </c>
      <c r="L329">
        <f>IFERROR(VLOOKUP($D329,ウルトラ一覧!$A:$L,3,FALSE),"")</f>
        <v/>
      </c>
      <c r="M329">
        <f>IFERROR(VLOOKUP($D329,ウルトラ一覧!$A:$L,4,FALSE),"")</f>
        <v/>
      </c>
      <c r="N329">
        <f>IFERROR(VLOOKUP($D329,ウルトラ一覧!$A:$L,8,FALSE),"")</f>
        <v/>
      </c>
      <c r="O329">
        <f>IFERROR(VLOOKUP($D329,ウルトラ一覧!$A:$L,9,FALSE),"")</f>
        <v/>
      </c>
      <c r="P329">
        <f>IFERROR(VLOOKUP($D329,ウルトラ一覧!$A:$L,10,FALSE),"")</f>
        <v/>
      </c>
    </row>
    <row r="330">
      <c r="D330" s="4" t="n"/>
      <c r="K330">
        <f>IFERROR(VLOOKUP($D330,ウルトラ一覧!$A:$L,2,FALSE),"")</f>
        <v/>
      </c>
      <c r="L330">
        <f>IFERROR(VLOOKUP($D330,ウルトラ一覧!$A:$L,3,FALSE),"")</f>
        <v/>
      </c>
      <c r="M330">
        <f>IFERROR(VLOOKUP($D330,ウルトラ一覧!$A:$L,4,FALSE),"")</f>
        <v/>
      </c>
      <c r="N330">
        <f>IFERROR(VLOOKUP($D330,ウルトラ一覧!$A:$L,8,FALSE),"")</f>
        <v/>
      </c>
      <c r="O330">
        <f>IFERROR(VLOOKUP($D330,ウルトラ一覧!$A:$L,9,FALSE),"")</f>
        <v/>
      </c>
      <c r="P330">
        <f>IFERROR(VLOOKUP($D330,ウルトラ一覧!$A:$L,10,FALSE),"")</f>
        <v/>
      </c>
    </row>
    <row r="331">
      <c r="D331" s="4" t="n"/>
      <c r="K331">
        <f>IFERROR(VLOOKUP($D331,ウルトラ一覧!$A:$L,2,FALSE),"")</f>
        <v/>
      </c>
      <c r="L331">
        <f>IFERROR(VLOOKUP($D331,ウルトラ一覧!$A:$L,3,FALSE),"")</f>
        <v/>
      </c>
      <c r="M331">
        <f>IFERROR(VLOOKUP($D331,ウルトラ一覧!$A:$L,4,FALSE),"")</f>
        <v/>
      </c>
      <c r="N331">
        <f>IFERROR(VLOOKUP($D331,ウルトラ一覧!$A:$L,8,FALSE),"")</f>
        <v/>
      </c>
      <c r="O331">
        <f>IFERROR(VLOOKUP($D331,ウルトラ一覧!$A:$L,9,FALSE),"")</f>
        <v/>
      </c>
      <c r="P331">
        <f>IFERROR(VLOOKUP($D331,ウルトラ一覧!$A:$L,10,FALSE),"")</f>
        <v/>
      </c>
    </row>
    <row r="332">
      <c r="D332" s="4" t="n"/>
      <c r="K332">
        <f>IFERROR(VLOOKUP($D332,ウルトラ一覧!$A:$L,2,FALSE),"")</f>
        <v/>
      </c>
      <c r="L332">
        <f>IFERROR(VLOOKUP($D332,ウルトラ一覧!$A:$L,3,FALSE),"")</f>
        <v/>
      </c>
      <c r="M332">
        <f>IFERROR(VLOOKUP($D332,ウルトラ一覧!$A:$L,4,FALSE),"")</f>
        <v/>
      </c>
      <c r="N332">
        <f>IFERROR(VLOOKUP($D332,ウルトラ一覧!$A:$L,8,FALSE),"")</f>
        <v/>
      </c>
      <c r="O332">
        <f>IFERROR(VLOOKUP($D332,ウルトラ一覧!$A:$L,9,FALSE),"")</f>
        <v/>
      </c>
      <c r="P332">
        <f>IFERROR(VLOOKUP($D332,ウルトラ一覧!$A:$L,10,FALSE),"")</f>
        <v/>
      </c>
    </row>
    <row r="333">
      <c r="D333" s="4" t="n"/>
      <c r="K333">
        <f>IFERROR(VLOOKUP($D333,ウルトラ一覧!$A:$L,2,FALSE),"")</f>
        <v/>
      </c>
      <c r="L333">
        <f>IFERROR(VLOOKUP($D333,ウルトラ一覧!$A:$L,3,FALSE),"")</f>
        <v/>
      </c>
      <c r="M333">
        <f>IFERROR(VLOOKUP($D333,ウルトラ一覧!$A:$L,4,FALSE),"")</f>
        <v/>
      </c>
      <c r="N333">
        <f>IFERROR(VLOOKUP($D333,ウルトラ一覧!$A:$L,8,FALSE),"")</f>
        <v/>
      </c>
      <c r="O333">
        <f>IFERROR(VLOOKUP($D333,ウルトラ一覧!$A:$L,9,FALSE),"")</f>
        <v/>
      </c>
      <c r="P333">
        <f>IFERROR(VLOOKUP($D333,ウルトラ一覧!$A:$L,10,FALSE),"")</f>
        <v/>
      </c>
    </row>
    <row r="334">
      <c r="D334" s="4" t="n"/>
      <c r="K334">
        <f>IFERROR(VLOOKUP($D334,ウルトラ一覧!$A:$L,2,FALSE),"")</f>
        <v/>
      </c>
      <c r="L334">
        <f>IFERROR(VLOOKUP($D334,ウルトラ一覧!$A:$L,3,FALSE),"")</f>
        <v/>
      </c>
      <c r="M334">
        <f>IFERROR(VLOOKUP($D334,ウルトラ一覧!$A:$L,4,FALSE),"")</f>
        <v/>
      </c>
      <c r="N334">
        <f>IFERROR(VLOOKUP($D334,ウルトラ一覧!$A:$L,8,FALSE),"")</f>
        <v/>
      </c>
      <c r="O334">
        <f>IFERROR(VLOOKUP($D334,ウルトラ一覧!$A:$L,9,FALSE),"")</f>
        <v/>
      </c>
      <c r="P334">
        <f>IFERROR(VLOOKUP($D334,ウルトラ一覧!$A:$L,10,FALSE),"")</f>
        <v/>
      </c>
    </row>
    <row r="335">
      <c r="D335" s="4" t="n"/>
      <c r="K335">
        <f>IFERROR(VLOOKUP($D335,ウルトラ一覧!$A:$L,2,FALSE),"")</f>
        <v/>
      </c>
      <c r="L335">
        <f>IFERROR(VLOOKUP($D335,ウルトラ一覧!$A:$L,3,FALSE),"")</f>
        <v/>
      </c>
      <c r="M335">
        <f>IFERROR(VLOOKUP($D335,ウルトラ一覧!$A:$L,4,FALSE),"")</f>
        <v/>
      </c>
      <c r="N335">
        <f>IFERROR(VLOOKUP($D335,ウルトラ一覧!$A:$L,8,FALSE),"")</f>
        <v/>
      </c>
      <c r="O335">
        <f>IFERROR(VLOOKUP($D335,ウルトラ一覧!$A:$L,9,FALSE),"")</f>
        <v/>
      </c>
      <c r="P335">
        <f>IFERROR(VLOOKUP($D335,ウルトラ一覧!$A:$L,10,FALSE),"")</f>
        <v/>
      </c>
    </row>
    <row r="336">
      <c r="D336" s="4" t="n"/>
      <c r="K336">
        <f>IFERROR(VLOOKUP($D336,ウルトラ一覧!$A:$L,2,FALSE),"")</f>
        <v/>
      </c>
      <c r="L336">
        <f>IFERROR(VLOOKUP($D336,ウルトラ一覧!$A:$L,3,FALSE),"")</f>
        <v/>
      </c>
      <c r="M336">
        <f>IFERROR(VLOOKUP($D336,ウルトラ一覧!$A:$L,4,FALSE),"")</f>
        <v/>
      </c>
      <c r="N336">
        <f>IFERROR(VLOOKUP($D336,ウルトラ一覧!$A:$L,8,FALSE),"")</f>
        <v/>
      </c>
      <c r="O336">
        <f>IFERROR(VLOOKUP($D336,ウルトラ一覧!$A:$L,9,FALSE),"")</f>
        <v/>
      </c>
      <c r="P336">
        <f>IFERROR(VLOOKUP($D336,ウルトラ一覧!$A:$L,10,FALSE),"")</f>
        <v/>
      </c>
    </row>
    <row r="337">
      <c r="D337" s="4" t="n"/>
      <c r="K337">
        <f>IFERROR(VLOOKUP($D337,ウルトラ一覧!$A:$L,2,FALSE),"")</f>
        <v/>
      </c>
      <c r="L337">
        <f>IFERROR(VLOOKUP($D337,ウルトラ一覧!$A:$L,3,FALSE),"")</f>
        <v/>
      </c>
      <c r="M337">
        <f>IFERROR(VLOOKUP($D337,ウルトラ一覧!$A:$L,4,FALSE),"")</f>
        <v/>
      </c>
      <c r="N337">
        <f>IFERROR(VLOOKUP($D337,ウルトラ一覧!$A:$L,8,FALSE),"")</f>
        <v/>
      </c>
      <c r="O337">
        <f>IFERROR(VLOOKUP($D337,ウルトラ一覧!$A:$L,9,FALSE),"")</f>
        <v/>
      </c>
      <c r="P337">
        <f>IFERROR(VLOOKUP($D337,ウルトラ一覧!$A:$L,10,FALSE),"")</f>
        <v/>
      </c>
    </row>
    <row r="338">
      <c r="D338" s="4" t="n"/>
      <c r="K338">
        <f>IFERROR(VLOOKUP($D338,ウルトラ一覧!$A:$L,2,FALSE),"")</f>
        <v/>
      </c>
      <c r="L338">
        <f>IFERROR(VLOOKUP($D338,ウルトラ一覧!$A:$L,3,FALSE),"")</f>
        <v/>
      </c>
      <c r="M338">
        <f>IFERROR(VLOOKUP($D338,ウルトラ一覧!$A:$L,4,FALSE),"")</f>
        <v/>
      </c>
      <c r="N338">
        <f>IFERROR(VLOOKUP($D338,ウルトラ一覧!$A:$L,8,FALSE),"")</f>
        <v/>
      </c>
      <c r="O338">
        <f>IFERROR(VLOOKUP($D338,ウルトラ一覧!$A:$L,9,FALSE),"")</f>
        <v/>
      </c>
      <c r="P338">
        <f>IFERROR(VLOOKUP($D338,ウルトラ一覧!$A:$L,10,FALSE),"")</f>
        <v/>
      </c>
    </row>
    <row r="339">
      <c r="D339" s="4" t="n"/>
      <c r="K339">
        <f>IFERROR(VLOOKUP($D339,ウルトラ一覧!$A:$L,2,FALSE),"")</f>
        <v/>
      </c>
      <c r="L339">
        <f>IFERROR(VLOOKUP($D339,ウルトラ一覧!$A:$L,3,FALSE),"")</f>
        <v/>
      </c>
      <c r="M339">
        <f>IFERROR(VLOOKUP($D339,ウルトラ一覧!$A:$L,4,FALSE),"")</f>
        <v/>
      </c>
      <c r="N339">
        <f>IFERROR(VLOOKUP($D339,ウルトラ一覧!$A:$L,8,FALSE),"")</f>
        <v/>
      </c>
      <c r="O339">
        <f>IFERROR(VLOOKUP($D339,ウルトラ一覧!$A:$L,9,FALSE),"")</f>
        <v/>
      </c>
      <c r="P339">
        <f>IFERROR(VLOOKUP($D339,ウルトラ一覧!$A:$L,10,FALSE),"")</f>
        <v/>
      </c>
    </row>
    <row r="340">
      <c r="D340" s="4" t="n"/>
      <c r="K340">
        <f>IFERROR(VLOOKUP($D340,ウルトラ一覧!$A:$L,2,FALSE),"")</f>
        <v/>
      </c>
      <c r="L340">
        <f>IFERROR(VLOOKUP($D340,ウルトラ一覧!$A:$L,3,FALSE),"")</f>
        <v/>
      </c>
      <c r="M340">
        <f>IFERROR(VLOOKUP($D340,ウルトラ一覧!$A:$L,4,FALSE),"")</f>
        <v/>
      </c>
      <c r="N340">
        <f>IFERROR(VLOOKUP($D340,ウルトラ一覧!$A:$L,8,FALSE),"")</f>
        <v/>
      </c>
      <c r="O340">
        <f>IFERROR(VLOOKUP($D340,ウルトラ一覧!$A:$L,9,FALSE),"")</f>
        <v/>
      </c>
      <c r="P340">
        <f>IFERROR(VLOOKUP($D340,ウルトラ一覧!$A:$L,10,FALSE),"")</f>
        <v/>
      </c>
    </row>
    <row r="341">
      <c r="D341" s="4" t="n"/>
      <c r="K341">
        <f>IFERROR(VLOOKUP($D341,ウルトラ一覧!$A:$L,2,FALSE),"")</f>
        <v/>
      </c>
      <c r="L341">
        <f>IFERROR(VLOOKUP($D341,ウルトラ一覧!$A:$L,3,FALSE),"")</f>
        <v/>
      </c>
      <c r="M341">
        <f>IFERROR(VLOOKUP($D341,ウルトラ一覧!$A:$L,4,FALSE),"")</f>
        <v/>
      </c>
      <c r="N341">
        <f>IFERROR(VLOOKUP($D341,ウルトラ一覧!$A:$L,8,FALSE),"")</f>
        <v/>
      </c>
      <c r="O341">
        <f>IFERROR(VLOOKUP($D341,ウルトラ一覧!$A:$L,9,FALSE),"")</f>
        <v/>
      </c>
      <c r="P341">
        <f>IFERROR(VLOOKUP($D341,ウルトラ一覧!$A:$L,10,FALSE),"")</f>
        <v/>
      </c>
    </row>
    <row r="342">
      <c r="D342" s="4" t="n"/>
      <c r="K342">
        <f>IFERROR(VLOOKUP($D342,ウルトラ一覧!$A:$L,2,FALSE),"")</f>
        <v/>
      </c>
      <c r="L342">
        <f>IFERROR(VLOOKUP($D342,ウルトラ一覧!$A:$L,3,FALSE),"")</f>
        <v/>
      </c>
      <c r="M342">
        <f>IFERROR(VLOOKUP($D342,ウルトラ一覧!$A:$L,4,FALSE),"")</f>
        <v/>
      </c>
      <c r="N342">
        <f>IFERROR(VLOOKUP($D342,ウルトラ一覧!$A:$L,8,FALSE),"")</f>
        <v/>
      </c>
      <c r="O342">
        <f>IFERROR(VLOOKUP($D342,ウルトラ一覧!$A:$L,9,FALSE),"")</f>
        <v/>
      </c>
      <c r="P342">
        <f>IFERROR(VLOOKUP($D342,ウルトラ一覧!$A:$L,10,FALSE),"")</f>
        <v/>
      </c>
    </row>
    <row r="343">
      <c r="D343" s="4" t="n"/>
      <c r="K343">
        <f>IFERROR(VLOOKUP($D343,ウルトラ一覧!$A:$L,2,FALSE),"")</f>
        <v/>
      </c>
      <c r="L343">
        <f>IFERROR(VLOOKUP($D343,ウルトラ一覧!$A:$L,3,FALSE),"")</f>
        <v/>
      </c>
      <c r="M343">
        <f>IFERROR(VLOOKUP($D343,ウルトラ一覧!$A:$L,4,FALSE),"")</f>
        <v/>
      </c>
      <c r="N343">
        <f>IFERROR(VLOOKUP($D343,ウルトラ一覧!$A:$L,8,FALSE),"")</f>
        <v/>
      </c>
      <c r="O343">
        <f>IFERROR(VLOOKUP($D343,ウルトラ一覧!$A:$L,9,FALSE),"")</f>
        <v/>
      </c>
      <c r="P343">
        <f>IFERROR(VLOOKUP($D343,ウルトラ一覧!$A:$L,10,FALSE),"")</f>
        <v/>
      </c>
    </row>
    <row r="344">
      <c r="D344" s="4" t="n"/>
      <c r="K344">
        <f>IFERROR(VLOOKUP($D344,ウルトラ一覧!$A:$L,2,FALSE),"")</f>
        <v/>
      </c>
      <c r="L344">
        <f>IFERROR(VLOOKUP($D344,ウルトラ一覧!$A:$L,3,FALSE),"")</f>
        <v/>
      </c>
      <c r="M344">
        <f>IFERROR(VLOOKUP($D344,ウルトラ一覧!$A:$L,4,FALSE),"")</f>
        <v/>
      </c>
      <c r="N344">
        <f>IFERROR(VLOOKUP($D344,ウルトラ一覧!$A:$L,8,FALSE),"")</f>
        <v/>
      </c>
      <c r="O344">
        <f>IFERROR(VLOOKUP($D344,ウルトラ一覧!$A:$L,9,FALSE),"")</f>
        <v/>
      </c>
      <c r="P344">
        <f>IFERROR(VLOOKUP($D344,ウルトラ一覧!$A:$L,10,FALSE),"")</f>
        <v/>
      </c>
    </row>
    <row r="345">
      <c r="D345" s="4" t="n"/>
      <c r="K345">
        <f>IFERROR(VLOOKUP($D345,ウルトラ一覧!$A:$L,2,FALSE),"")</f>
        <v/>
      </c>
      <c r="L345">
        <f>IFERROR(VLOOKUP($D345,ウルトラ一覧!$A:$L,3,FALSE),"")</f>
        <v/>
      </c>
      <c r="M345">
        <f>IFERROR(VLOOKUP($D345,ウルトラ一覧!$A:$L,4,FALSE),"")</f>
        <v/>
      </c>
      <c r="N345">
        <f>IFERROR(VLOOKUP($D345,ウルトラ一覧!$A:$L,8,FALSE),"")</f>
        <v/>
      </c>
      <c r="O345">
        <f>IFERROR(VLOOKUP($D345,ウルトラ一覧!$A:$L,9,FALSE),"")</f>
        <v/>
      </c>
      <c r="P345">
        <f>IFERROR(VLOOKUP($D345,ウルトラ一覧!$A:$L,10,FALSE),"")</f>
        <v/>
      </c>
    </row>
    <row r="346">
      <c r="D346" s="4" t="n"/>
      <c r="K346">
        <f>IFERROR(VLOOKUP($D346,ウルトラ一覧!$A:$L,2,FALSE),"")</f>
        <v/>
      </c>
      <c r="L346">
        <f>IFERROR(VLOOKUP($D346,ウルトラ一覧!$A:$L,3,FALSE),"")</f>
        <v/>
      </c>
      <c r="M346">
        <f>IFERROR(VLOOKUP($D346,ウルトラ一覧!$A:$L,4,FALSE),"")</f>
        <v/>
      </c>
      <c r="N346">
        <f>IFERROR(VLOOKUP($D346,ウルトラ一覧!$A:$L,8,FALSE),"")</f>
        <v/>
      </c>
      <c r="O346">
        <f>IFERROR(VLOOKUP($D346,ウルトラ一覧!$A:$L,9,FALSE),"")</f>
        <v/>
      </c>
      <c r="P346">
        <f>IFERROR(VLOOKUP($D346,ウルトラ一覧!$A:$L,10,FALSE),"")</f>
        <v/>
      </c>
    </row>
    <row r="347">
      <c r="D347" s="4" t="n"/>
      <c r="K347">
        <f>IFERROR(VLOOKUP($D347,ウルトラ一覧!$A:$L,2,FALSE),"")</f>
        <v/>
      </c>
      <c r="L347">
        <f>IFERROR(VLOOKUP($D347,ウルトラ一覧!$A:$L,3,FALSE),"")</f>
        <v/>
      </c>
      <c r="M347">
        <f>IFERROR(VLOOKUP($D347,ウルトラ一覧!$A:$L,4,FALSE),"")</f>
        <v/>
      </c>
      <c r="N347">
        <f>IFERROR(VLOOKUP($D347,ウルトラ一覧!$A:$L,8,FALSE),"")</f>
        <v/>
      </c>
      <c r="O347">
        <f>IFERROR(VLOOKUP($D347,ウルトラ一覧!$A:$L,9,FALSE),"")</f>
        <v/>
      </c>
      <c r="P347">
        <f>IFERROR(VLOOKUP($D347,ウルトラ一覧!$A:$L,10,FALSE),"")</f>
        <v/>
      </c>
    </row>
    <row r="348">
      <c r="D348" s="4" t="n"/>
      <c r="K348">
        <f>IFERROR(VLOOKUP($D348,ウルトラ一覧!$A:$L,2,FALSE),"")</f>
        <v/>
      </c>
      <c r="L348">
        <f>IFERROR(VLOOKUP($D348,ウルトラ一覧!$A:$L,3,FALSE),"")</f>
        <v/>
      </c>
      <c r="M348">
        <f>IFERROR(VLOOKUP($D348,ウルトラ一覧!$A:$L,4,FALSE),"")</f>
        <v/>
      </c>
      <c r="N348">
        <f>IFERROR(VLOOKUP($D348,ウルトラ一覧!$A:$L,8,FALSE),"")</f>
        <v/>
      </c>
      <c r="O348">
        <f>IFERROR(VLOOKUP($D348,ウルトラ一覧!$A:$L,9,FALSE),"")</f>
        <v/>
      </c>
      <c r="P348">
        <f>IFERROR(VLOOKUP($D348,ウルトラ一覧!$A:$L,10,FALSE),"")</f>
        <v/>
      </c>
    </row>
    <row r="349">
      <c r="D349" s="4" t="n"/>
      <c r="K349">
        <f>IFERROR(VLOOKUP($D349,ウルトラ一覧!$A:$L,2,FALSE),"")</f>
        <v/>
      </c>
      <c r="L349">
        <f>IFERROR(VLOOKUP($D349,ウルトラ一覧!$A:$L,3,FALSE),"")</f>
        <v/>
      </c>
      <c r="M349">
        <f>IFERROR(VLOOKUP($D349,ウルトラ一覧!$A:$L,4,FALSE),"")</f>
        <v/>
      </c>
      <c r="N349">
        <f>IFERROR(VLOOKUP($D349,ウルトラ一覧!$A:$L,8,FALSE),"")</f>
        <v/>
      </c>
      <c r="O349">
        <f>IFERROR(VLOOKUP($D349,ウルトラ一覧!$A:$L,9,FALSE),"")</f>
        <v/>
      </c>
      <c r="P349">
        <f>IFERROR(VLOOKUP($D349,ウルトラ一覧!$A:$L,10,FALSE),"")</f>
        <v/>
      </c>
    </row>
    <row r="350">
      <c r="D350" s="4" t="n"/>
      <c r="K350">
        <f>IFERROR(VLOOKUP($D350,ウルトラ一覧!$A:$L,2,FALSE),"")</f>
        <v/>
      </c>
      <c r="L350">
        <f>IFERROR(VLOOKUP($D350,ウルトラ一覧!$A:$L,3,FALSE),"")</f>
        <v/>
      </c>
      <c r="M350">
        <f>IFERROR(VLOOKUP($D350,ウルトラ一覧!$A:$L,4,FALSE),"")</f>
        <v/>
      </c>
      <c r="N350">
        <f>IFERROR(VLOOKUP($D350,ウルトラ一覧!$A:$L,8,FALSE),"")</f>
        <v/>
      </c>
      <c r="O350">
        <f>IFERROR(VLOOKUP($D350,ウルトラ一覧!$A:$L,9,FALSE),"")</f>
        <v/>
      </c>
      <c r="P350">
        <f>IFERROR(VLOOKUP($D350,ウルトラ一覧!$A:$L,10,FALSE),"")</f>
        <v/>
      </c>
    </row>
    <row r="351">
      <c r="D351" s="4" t="n"/>
      <c r="K351">
        <f>IFERROR(VLOOKUP($D351,ウルトラ一覧!$A:$L,2,FALSE),"")</f>
        <v/>
      </c>
      <c r="L351">
        <f>IFERROR(VLOOKUP($D351,ウルトラ一覧!$A:$L,3,FALSE),"")</f>
        <v/>
      </c>
      <c r="M351">
        <f>IFERROR(VLOOKUP($D351,ウルトラ一覧!$A:$L,4,FALSE),"")</f>
        <v/>
      </c>
      <c r="N351">
        <f>IFERROR(VLOOKUP($D351,ウルトラ一覧!$A:$L,8,FALSE),"")</f>
        <v/>
      </c>
      <c r="O351">
        <f>IFERROR(VLOOKUP($D351,ウルトラ一覧!$A:$L,9,FALSE),"")</f>
        <v/>
      </c>
      <c r="P351">
        <f>IFERROR(VLOOKUP($D351,ウルトラ一覧!$A:$L,10,FALSE),"")</f>
        <v/>
      </c>
    </row>
    <row r="352">
      <c r="D352" s="4" t="n"/>
      <c r="K352">
        <f>IFERROR(VLOOKUP($D352,ウルトラ一覧!$A:$L,2,FALSE),"")</f>
        <v/>
      </c>
      <c r="L352">
        <f>IFERROR(VLOOKUP($D352,ウルトラ一覧!$A:$L,3,FALSE),"")</f>
        <v/>
      </c>
      <c r="M352">
        <f>IFERROR(VLOOKUP($D352,ウルトラ一覧!$A:$L,4,FALSE),"")</f>
        <v/>
      </c>
      <c r="N352">
        <f>IFERROR(VLOOKUP($D352,ウルトラ一覧!$A:$L,8,FALSE),"")</f>
        <v/>
      </c>
      <c r="O352">
        <f>IFERROR(VLOOKUP($D352,ウルトラ一覧!$A:$L,9,FALSE),"")</f>
        <v/>
      </c>
      <c r="P352">
        <f>IFERROR(VLOOKUP($D352,ウルトラ一覧!$A:$L,10,FALSE),"")</f>
        <v/>
      </c>
    </row>
    <row r="353">
      <c r="D353" s="4" t="n"/>
      <c r="K353">
        <f>IFERROR(VLOOKUP($D353,ウルトラ一覧!$A:$L,2,FALSE),"")</f>
        <v/>
      </c>
      <c r="L353">
        <f>IFERROR(VLOOKUP($D353,ウルトラ一覧!$A:$L,3,FALSE),"")</f>
        <v/>
      </c>
      <c r="M353">
        <f>IFERROR(VLOOKUP($D353,ウルトラ一覧!$A:$L,4,FALSE),"")</f>
        <v/>
      </c>
      <c r="N353">
        <f>IFERROR(VLOOKUP($D353,ウルトラ一覧!$A:$L,8,FALSE),"")</f>
        <v/>
      </c>
      <c r="O353">
        <f>IFERROR(VLOOKUP($D353,ウルトラ一覧!$A:$L,9,FALSE),"")</f>
        <v/>
      </c>
      <c r="P353">
        <f>IFERROR(VLOOKUP($D353,ウルトラ一覧!$A:$L,10,FALSE),"")</f>
        <v/>
      </c>
    </row>
    <row r="354">
      <c r="D354" s="4" t="n"/>
      <c r="K354">
        <f>IFERROR(VLOOKUP($D354,ウルトラ一覧!$A:$L,2,FALSE),"")</f>
        <v/>
      </c>
      <c r="L354">
        <f>IFERROR(VLOOKUP($D354,ウルトラ一覧!$A:$L,3,FALSE),"")</f>
        <v/>
      </c>
      <c r="M354">
        <f>IFERROR(VLOOKUP($D354,ウルトラ一覧!$A:$L,4,FALSE),"")</f>
        <v/>
      </c>
      <c r="N354">
        <f>IFERROR(VLOOKUP($D354,ウルトラ一覧!$A:$L,8,FALSE),"")</f>
        <v/>
      </c>
      <c r="O354">
        <f>IFERROR(VLOOKUP($D354,ウルトラ一覧!$A:$L,9,FALSE),"")</f>
        <v/>
      </c>
      <c r="P354">
        <f>IFERROR(VLOOKUP($D354,ウルトラ一覧!$A:$L,10,FALSE),"")</f>
        <v/>
      </c>
    </row>
    <row r="355">
      <c r="D355" s="4" t="n"/>
      <c r="K355">
        <f>IFERROR(VLOOKUP($D355,ウルトラ一覧!$A:$L,2,FALSE),"")</f>
        <v/>
      </c>
      <c r="L355">
        <f>IFERROR(VLOOKUP($D355,ウルトラ一覧!$A:$L,3,FALSE),"")</f>
        <v/>
      </c>
      <c r="M355">
        <f>IFERROR(VLOOKUP($D355,ウルトラ一覧!$A:$L,4,FALSE),"")</f>
        <v/>
      </c>
      <c r="N355">
        <f>IFERROR(VLOOKUP($D355,ウルトラ一覧!$A:$L,8,FALSE),"")</f>
        <v/>
      </c>
      <c r="O355">
        <f>IFERROR(VLOOKUP($D355,ウルトラ一覧!$A:$L,9,FALSE),"")</f>
        <v/>
      </c>
      <c r="P355">
        <f>IFERROR(VLOOKUP($D355,ウルトラ一覧!$A:$L,10,FALSE),"")</f>
        <v/>
      </c>
    </row>
    <row r="356">
      <c r="D356" s="4" t="n"/>
      <c r="K356">
        <f>IFERROR(VLOOKUP($D356,ウルトラ一覧!$A:$L,2,FALSE),"")</f>
        <v/>
      </c>
      <c r="L356">
        <f>IFERROR(VLOOKUP($D356,ウルトラ一覧!$A:$L,3,FALSE),"")</f>
        <v/>
      </c>
      <c r="M356">
        <f>IFERROR(VLOOKUP($D356,ウルトラ一覧!$A:$L,4,FALSE),"")</f>
        <v/>
      </c>
      <c r="N356">
        <f>IFERROR(VLOOKUP($D356,ウルトラ一覧!$A:$L,8,FALSE),"")</f>
        <v/>
      </c>
      <c r="O356">
        <f>IFERROR(VLOOKUP($D356,ウルトラ一覧!$A:$L,9,FALSE),"")</f>
        <v/>
      </c>
      <c r="P356">
        <f>IFERROR(VLOOKUP($D356,ウルトラ一覧!$A:$L,10,FALSE),"")</f>
        <v/>
      </c>
    </row>
    <row r="357">
      <c r="D357" s="4" t="n"/>
      <c r="K357">
        <f>IFERROR(VLOOKUP($D357,ウルトラ一覧!$A:$L,2,FALSE),"")</f>
        <v/>
      </c>
      <c r="L357">
        <f>IFERROR(VLOOKUP($D357,ウルトラ一覧!$A:$L,3,FALSE),"")</f>
        <v/>
      </c>
      <c r="M357">
        <f>IFERROR(VLOOKUP($D357,ウルトラ一覧!$A:$L,4,FALSE),"")</f>
        <v/>
      </c>
      <c r="N357">
        <f>IFERROR(VLOOKUP($D357,ウルトラ一覧!$A:$L,8,FALSE),"")</f>
        <v/>
      </c>
      <c r="O357">
        <f>IFERROR(VLOOKUP($D357,ウルトラ一覧!$A:$L,9,FALSE),"")</f>
        <v/>
      </c>
      <c r="P357">
        <f>IFERROR(VLOOKUP($D357,ウルトラ一覧!$A:$L,10,FALSE),"")</f>
        <v/>
      </c>
    </row>
    <row r="358">
      <c r="D358" s="4" t="n"/>
      <c r="K358">
        <f>IFERROR(VLOOKUP($D358,ウルトラ一覧!$A:$L,2,FALSE),"")</f>
        <v/>
      </c>
      <c r="L358">
        <f>IFERROR(VLOOKUP($D358,ウルトラ一覧!$A:$L,3,FALSE),"")</f>
        <v/>
      </c>
      <c r="M358">
        <f>IFERROR(VLOOKUP($D358,ウルトラ一覧!$A:$L,4,FALSE),"")</f>
        <v/>
      </c>
      <c r="N358">
        <f>IFERROR(VLOOKUP($D358,ウルトラ一覧!$A:$L,8,FALSE),"")</f>
        <v/>
      </c>
      <c r="O358">
        <f>IFERROR(VLOOKUP($D358,ウルトラ一覧!$A:$L,9,FALSE),"")</f>
        <v/>
      </c>
      <c r="P358">
        <f>IFERROR(VLOOKUP($D358,ウルトラ一覧!$A:$L,10,FALSE),"")</f>
        <v/>
      </c>
    </row>
    <row r="359">
      <c r="D359" s="4" t="n"/>
      <c r="K359">
        <f>IFERROR(VLOOKUP($D359,ウルトラ一覧!$A:$L,2,FALSE),"")</f>
        <v/>
      </c>
      <c r="L359">
        <f>IFERROR(VLOOKUP($D359,ウルトラ一覧!$A:$L,3,FALSE),"")</f>
        <v/>
      </c>
      <c r="M359">
        <f>IFERROR(VLOOKUP($D359,ウルトラ一覧!$A:$L,4,FALSE),"")</f>
        <v/>
      </c>
      <c r="N359">
        <f>IFERROR(VLOOKUP($D359,ウルトラ一覧!$A:$L,8,FALSE),"")</f>
        <v/>
      </c>
      <c r="O359">
        <f>IFERROR(VLOOKUP($D359,ウルトラ一覧!$A:$L,9,FALSE),"")</f>
        <v/>
      </c>
      <c r="P359">
        <f>IFERROR(VLOOKUP($D359,ウルトラ一覧!$A:$L,10,FALSE),"")</f>
        <v/>
      </c>
    </row>
    <row r="360">
      <c r="D360" s="4" t="n"/>
      <c r="K360">
        <f>IFERROR(VLOOKUP($D360,ウルトラ一覧!$A:$L,2,FALSE),"")</f>
        <v/>
      </c>
      <c r="L360">
        <f>IFERROR(VLOOKUP($D360,ウルトラ一覧!$A:$L,3,FALSE),"")</f>
        <v/>
      </c>
      <c r="M360">
        <f>IFERROR(VLOOKUP($D360,ウルトラ一覧!$A:$L,4,FALSE),"")</f>
        <v/>
      </c>
      <c r="N360">
        <f>IFERROR(VLOOKUP($D360,ウルトラ一覧!$A:$L,8,FALSE),"")</f>
        <v/>
      </c>
      <c r="O360">
        <f>IFERROR(VLOOKUP($D360,ウルトラ一覧!$A:$L,9,FALSE),"")</f>
        <v/>
      </c>
      <c r="P360">
        <f>IFERROR(VLOOKUP($D360,ウルトラ一覧!$A:$L,10,FALSE),"")</f>
        <v/>
      </c>
    </row>
    <row r="361">
      <c r="D361" s="4" t="n"/>
      <c r="K361">
        <f>IFERROR(VLOOKUP($D361,ウルトラ一覧!$A:$L,2,FALSE),"")</f>
        <v/>
      </c>
      <c r="L361">
        <f>IFERROR(VLOOKUP($D361,ウルトラ一覧!$A:$L,3,FALSE),"")</f>
        <v/>
      </c>
      <c r="M361">
        <f>IFERROR(VLOOKUP($D361,ウルトラ一覧!$A:$L,4,FALSE),"")</f>
        <v/>
      </c>
      <c r="N361">
        <f>IFERROR(VLOOKUP($D361,ウルトラ一覧!$A:$L,8,FALSE),"")</f>
        <v/>
      </c>
      <c r="O361">
        <f>IFERROR(VLOOKUP($D361,ウルトラ一覧!$A:$L,9,FALSE),"")</f>
        <v/>
      </c>
      <c r="P361">
        <f>IFERROR(VLOOKUP($D361,ウルトラ一覧!$A:$L,10,FALSE),"")</f>
        <v/>
      </c>
    </row>
    <row r="362">
      <c r="D362" s="4" t="n"/>
      <c r="K362">
        <f>IFERROR(VLOOKUP($D362,ウルトラ一覧!$A:$L,2,FALSE),"")</f>
        <v/>
      </c>
      <c r="L362">
        <f>IFERROR(VLOOKUP($D362,ウルトラ一覧!$A:$L,3,FALSE),"")</f>
        <v/>
      </c>
      <c r="M362">
        <f>IFERROR(VLOOKUP($D362,ウルトラ一覧!$A:$L,4,FALSE),"")</f>
        <v/>
      </c>
      <c r="N362">
        <f>IFERROR(VLOOKUP($D362,ウルトラ一覧!$A:$L,8,FALSE),"")</f>
        <v/>
      </c>
      <c r="O362">
        <f>IFERROR(VLOOKUP($D362,ウルトラ一覧!$A:$L,9,FALSE),"")</f>
        <v/>
      </c>
      <c r="P362">
        <f>IFERROR(VLOOKUP($D362,ウルトラ一覧!$A:$L,10,FALSE),"")</f>
        <v/>
      </c>
    </row>
    <row r="363">
      <c r="D363" s="4" t="n"/>
      <c r="K363">
        <f>IFERROR(VLOOKUP($D363,ウルトラ一覧!$A:$L,2,FALSE),"")</f>
        <v/>
      </c>
      <c r="L363">
        <f>IFERROR(VLOOKUP($D363,ウルトラ一覧!$A:$L,3,FALSE),"")</f>
        <v/>
      </c>
      <c r="M363">
        <f>IFERROR(VLOOKUP($D363,ウルトラ一覧!$A:$L,4,FALSE),"")</f>
        <v/>
      </c>
      <c r="N363">
        <f>IFERROR(VLOOKUP($D363,ウルトラ一覧!$A:$L,8,FALSE),"")</f>
        <v/>
      </c>
      <c r="O363">
        <f>IFERROR(VLOOKUP($D363,ウルトラ一覧!$A:$L,9,FALSE),"")</f>
        <v/>
      </c>
      <c r="P363">
        <f>IFERROR(VLOOKUP($D363,ウルトラ一覧!$A:$L,10,FALSE),"")</f>
        <v/>
      </c>
    </row>
    <row r="364">
      <c r="D364" s="4" t="n"/>
      <c r="K364">
        <f>IFERROR(VLOOKUP($D364,ウルトラ一覧!$A:$L,2,FALSE),"")</f>
        <v/>
      </c>
      <c r="L364">
        <f>IFERROR(VLOOKUP($D364,ウルトラ一覧!$A:$L,3,FALSE),"")</f>
        <v/>
      </c>
      <c r="M364">
        <f>IFERROR(VLOOKUP($D364,ウルトラ一覧!$A:$L,4,FALSE),"")</f>
        <v/>
      </c>
      <c r="N364">
        <f>IFERROR(VLOOKUP($D364,ウルトラ一覧!$A:$L,8,FALSE),"")</f>
        <v/>
      </c>
      <c r="O364">
        <f>IFERROR(VLOOKUP($D364,ウルトラ一覧!$A:$L,9,FALSE),"")</f>
        <v/>
      </c>
      <c r="P364">
        <f>IFERROR(VLOOKUP($D364,ウルトラ一覧!$A:$L,10,FALSE),"")</f>
        <v/>
      </c>
    </row>
    <row r="365">
      <c r="D365" s="4" t="n"/>
      <c r="K365">
        <f>IFERROR(VLOOKUP($D365,ウルトラ一覧!$A:$L,2,FALSE),"")</f>
        <v/>
      </c>
      <c r="L365">
        <f>IFERROR(VLOOKUP($D365,ウルトラ一覧!$A:$L,3,FALSE),"")</f>
        <v/>
      </c>
      <c r="M365">
        <f>IFERROR(VLOOKUP($D365,ウルトラ一覧!$A:$L,4,FALSE),"")</f>
        <v/>
      </c>
      <c r="N365">
        <f>IFERROR(VLOOKUP($D365,ウルトラ一覧!$A:$L,8,FALSE),"")</f>
        <v/>
      </c>
      <c r="O365">
        <f>IFERROR(VLOOKUP($D365,ウルトラ一覧!$A:$L,9,FALSE),"")</f>
        <v/>
      </c>
      <c r="P365">
        <f>IFERROR(VLOOKUP($D365,ウルトラ一覧!$A:$L,10,FALSE),"")</f>
        <v/>
      </c>
    </row>
    <row r="366">
      <c r="D366" s="4" t="n"/>
      <c r="K366">
        <f>IFERROR(VLOOKUP($D366,ウルトラ一覧!$A:$L,2,FALSE),"")</f>
        <v/>
      </c>
      <c r="L366">
        <f>IFERROR(VLOOKUP($D366,ウルトラ一覧!$A:$L,3,FALSE),"")</f>
        <v/>
      </c>
      <c r="M366">
        <f>IFERROR(VLOOKUP($D366,ウルトラ一覧!$A:$L,4,FALSE),"")</f>
        <v/>
      </c>
      <c r="N366">
        <f>IFERROR(VLOOKUP($D366,ウルトラ一覧!$A:$L,8,FALSE),"")</f>
        <v/>
      </c>
      <c r="O366">
        <f>IFERROR(VLOOKUP($D366,ウルトラ一覧!$A:$L,9,FALSE),"")</f>
        <v/>
      </c>
      <c r="P366">
        <f>IFERROR(VLOOKUP($D366,ウルトラ一覧!$A:$L,10,FALSE),"")</f>
        <v/>
      </c>
    </row>
    <row r="367">
      <c r="D367" s="4" t="n"/>
      <c r="K367">
        <f>IFERROR(VLOOKUP($D367,ウルトラ一覧!$A:$L,2,FALSE),"")</f>
        <v/>
      </c>
      <c r="L367">
        <f>IFERROR(VLOOKUP($D367,ウルトラ一覧!$A:$L,3,FALSE),"")</f>
        <v/>
      </c>
      <c r="M367">
        <f>IFERROR(VLOOKUP($D367,ウルトラ一覧!$A:$L,4,FALSE),"")</f>
        <v/>
      </c>
      <c r="N367">
        <f>IFERROR(VLOOKUP($D367,ウルトラ一覧!$A:$L,8,FALSE),"")</f>
        <v/>
      </c>
      <c r="O367">
        <f>IFERROR(VLOOKUP($D367,ウルトラ一覧!$A:$L,9,FALSE),"")</f>
        <v/>
      </c>
      <c r="P367">
        <f>IFERROR(VLOOKUP($D367,ウルトラ一覧!$A:$L,10,FALSE),"")</f>
        <v/>
      </c>
    </row>
    <row r="368">
      <c r="D368" s="4" t="n"/>
      <c r="K368">
        <f>IFERROR(VLOOKUP($D368,ウルトラ一覧!$A:$L,2,FALSE),"")</f>
        <v/>
      </c>
      <c r="L368">
        <f>IFERROR(VLOOKUP($D368,ウルトラ一覧!$A:$L,3,FALSE),"")</f>
        <v/>
      </c>
      <c r="M368">
        <f>IFERROR(VLOOKUP($D368,ウルトラ一覧!$A:$L,4,FALSE),"")</f>
        <v/>
      </c>
      <c r="N368">
        <f>IFERROR(VLOOKUP($D368,ウルトラ一覧!$A:$L,8,FALSE),"")</f>
        <v/>
      </c>
      <c r="O368">
        <f>IFERROR(VLOOKUP($D368,ウルトラ一覧!$A:$L,9,FALSE),"")</f>
        <v/>
      </c>
      <c r="P368">
        <f>IFERROR(VLOOKUP($D368,ウルトラ一覧!$A:$L,10,FALSE),"")</f>
        <v/>
      </c>
    </row>
    <row r="369">
      <c r="D369" s="4" t="n"/>
      <c r="K369">
        <f>IFERROR(VLOOKUP($D369,ウルトラ一覧!$A:$L,2,FALSE),"")</f>
        <v/>
      </c>
      <c r="L369">
        <f>IFERROR(VLOOKUP($D369,ウルトラ一覧!$A:$L,3,FALSE),"")</f>
        <v/>
      </c>
      <c r="M369">
        <f>IFERROR(VLOOKUP($D369,ウルトラ一覧!$A:$L,4,FALSE),"")</f>
        <v/>
      </c>
      <c r="N369">
        <f>IFERROR(VLOOKUP($D369,ウルトラ一覧!$A:$L,8,FALSE),"")</f>
        <v/>
      </c>
      <c r="O369">
        <f>IFERROR(VLOOKUP($D369,ウルトラ一覧!$A:$L,9,FALSE),"")</f>
        <v/>
      </c>
      <c r="P369">
        <f>IFERROR(VLOOKUP($D369,ウルトラ一覧!$A:$L,10,FALSE),"")</f>
        <v/>
      </c>
    </row>
    <row r="370">
      <c r="D370" s="4" t="n"/>
      <c r="K370">
        <f>IFERROR(VLOOKUP($D370,ウルトラ一覧!$A:$L,2,FALSE),"")</f>
        <v/>
      </c>
      <c r="L370">
        <f>IFERROR(VLOOKUP($D370,ウルトラ一覧!$A:$L,3,FALSE),"")</f>
        <v/>
      </c>
      <c r="M370">
        <f>IFERROR(VLOOKUP($D370,ウルトラ一覧!$A:$L,4,FALSE),"")</f>
        <v/>
      </c>
      <c r="N370">
        <f>IFERROR(VLOOKUP($D370,ウルトラ一覧!$A:$L,8,FALSE),"")</f>
        <v/>
      </c>
      <c r="O370">
        <f>IFERROR(VLOOKUP($D370,ウルトラ一覧!$A:$L,9,FALSE),"")</f>
        <v/>
      </c>
      <c r="P370">
        <f>IFERROR(VLOOKUP($D370,ウルトラ一覧!$A:$L,10,FALSE),"")</f>
        <v/>
      </c>
    </row>
    <row r="371">
      <c r="D371" s="4" t="n"/>
      <c r="K371">
        <f>IFERROR(VLOOKUP($D371,ウルトラ一覧!$A:$L,2,FALSE),"")</f>
        <v/>
      </c>
      <c r="L371">
        <f>IFERROR(VLOOKUP($D371,ウルトラ一覧!$A:$L,3,FALSE),"")</f>
        <v/>
      </c>
      <c r="M371">
        <f>IFERROR(VLOOKUP($D371,ウルトラ一覧!$A:$L,4,FALSE),"")</f>
        <v/>
      </c>
      <c r="N371">
        <f>IFERROR(VLOOKUP($D371,ウルトラ一覧!$A:$L,8,FALSE),"")</f>
        <v/>
      </c>
      <c r="O371">
        <f>IFERROR(VLOOKUP($D371,ウルトラ一覧!$A:$L,9,FALSE),"")</f>
        <v/>
      </c>
      <c r="P371">
        <f>IFERROR(VLOOKUP($D371,ウルトラ一覧!$A:$L,10,FALSE),"")</f>
        <v/>
      </c>
    </row>
    <row r="372">
      <c r="D372" s="4" t="n"/>
      <c r="K372">
        <f>IFERROR(VLOOKUP($D372,ウルトラ一覧!$A:$L,2,FALSE),"")</f>
        <v/>
      </c>
      <c r="L372">
        <f>IFERROR(VLOOKUP($D372,ウルトラ一覧!$A:$L,3,FALSE),"")</f>
        <v/>
      </c>
      <c r="M372">
        <f>IFERROR(VLOOKUP($D372,ウルトラ一覧!$A:$L,4,FALSE),"")</f>
        <v/>
      </c>
      <c r="N372">
        <f>IFERROR(VLOOKUP($D372,ウルトラ一覧!$A:$L,8,FALSE),"")</f>
        <v/>
      </c>
      <c r="O372">
        <f>IFERROR(VLOOKUP($D372,ウルトラ一覧!$A:$L,9,FALSE),"")</f>
        <v/>
      </c>
      <c r="P372">
        <f>IFERROR(VLOOKUP($D372,ウルトラ一覧!$A:$L,10,FALSE),"")</f>
        <v/>
      </c>
    </row>
    <row r="373">
      <c r="D373" s="4" t="n"/>
      <c r="K373">
        <f>IFERROR(VLOOKUP($D373,ウルトラ一覧!$A:$L,2,FALSE),"")</f>
        <v/>
      </c>
      <c r="L373">
        <f>IFERROR(VLOOKUP($D373,ウルトラ一覧!$A:$L,3,FALSE),"")</f>
        <v/>
      </c>
      <c r="M373">
        <f>IFERROR(VLOOKUP($D373,ウルトラ一覧!$A:$L,4,FALSE),"")</f>
        <v/>
      </c>
      <c r="N373">
        <f>IFERROR(VLOOKUP($D373,ウルトラ一覧!$A:$L,8,FALSE),"")</f>
        <v/>
      </c>
      <c r="O373">
        <f>IFERROR(VLOOKUP($D373,ウルトラ一覧!$A:$L,9,FALSE),"")</f>
        <v/>
      </c>
      <c r="P373">
        <f>IFERROR(VLOOKUP($D373,ウルトラ一覧!$A:$L,10,FALSE),"")</f>
        <v/>
      </c>
    </row>
    <row r="374">
      <c r="D374" s="4" t="n"/>
      <c r="K374">
        <f>IFERROR(VLOOKUP($D374,ウルトラ一覧!$A:$L,2,FALSE),"")</f>
        <v/>
      </c>
      <c r="L374">
        <f>IFERROR(VLOOKUP($D374,ウルトラ一覧!$A:$L,3,FALSE),"")</f>
        <v/>
      </c>
      <c r="M374">
        <f>IFERROR(VLOOKUP($D374,ウルトラ一覧!$A:$L,4,FALSE),"")</f>
        <v/>
      </c>
      <c r="N374">
        <f>IFERROR(VLOOKUP($D374,ウルトラ一覧!$A:$L,8,FALSE),"")</f>
        <v/>
      </c>
      <c r="O374">
        <f>IFERROR(VLOOKUP($D374,ウルトラ一覧!$A:$L,9,FALSE),"")</f>
        <v/>
      </c>
      <c r="P374">
        <f>IFERROR(VLOOKUP($D374,ウルトラ一覧!$A:$L,10,FALSE),"")</f>
        <v/>
      </c>
    </row>
    <row r="375">
      <c r="D375" s="4" t="n"/>
      <c r="K375">
        <f>IFERROR(VLOOKUP($D375,ウルトラ一覧!$A:$L,2,FALSE),"")</f>
        <v/>
      </c>
      <c r="L375">
        <f>IFERROR(VLOOKUP($D375,ウルトラ一覧!$A:$L,3,FALSE),"")</f>
        <v/>
      </c>
      <c r="M375">
        <f>IFERROR(VLOOKUP($D375,ウルトラ一覧!$A:$L,4,FALSE),"")</f>
        <v/>
      </c>
      <c r="N375">
        <f>IFERROR(VLOOKUP($D375,ウルトラ一覧!$A:$L,8,FALSE),"")</f>
        <v/>
      </c>
      <c r="O375">
        <f>IFERROR(VLOOKUP($D375,ウルトラ一覧!$A:$L,9,FALSE),"")</f>
        <v/>
      </c>
      <c r="P375">
        <f>IFERROR(VLOOKUP($D375,ウルトラ一覧!$A:$L,10,FALSE),"")</f>
        <v/>
      </c>
    </row>
    <row r="376">
      <c r="D376" s="4" t="n"/>
      <c r="K376">
        <f>IFERROR(VLOOKUP($D376,ウルトラ一覧!$A:$L,2,FALSE),"")</f>
        <v/>
      </c>
      <c r="L376">
        <f>IFERROR(VLOOKUP($D376,ウルトラ一覧!$A:$L,3,FALSE),"")</f>
        <v/>
      </c>
      <c r="M376">
        <f>IFERROR(VLOOKUP($D376,ウルトラ一覧!$A:$L,4,FALSE),"")</f>
        <v/>
      </c>
      <c r="N376">
        <f>IFERROR(VLOOKUP($D376,ウルトラ一覧!$A:$L,8,FALSE),"")</f>
        <v/>
      </c>
      <c r="O376">
        <f>IFERROR(VLOOKUP($D376,ウルトラ一覧!$A:$L,9,FALSE),"")</f>
        <v/>
      </c>
      <c r="P376">
        <f>IFERROR(VLOOKUP($D376,ウルトラ一覧!$A:$L,10,FALSE),"")</f>
        <v/>
      </c>
    </row>
    <row r="377">
      <c r="D377" s="4" t="n"/>
      <c r="K377">
        <f>IFERROR(VLOOKUP($D377,ウルトラ一覧!$A:$L,2,FALSE),"")</f>
        <v/>
      </c>
      <c r="L377">
        <f>IFERROR(VLOOKUP($D377,ウルトラ一覧!$A:$L,3,FALSE),"")</f>
        <v/>
      </c>
      <c r="M377">
        <f>IFERROR(VLOOKUP($D377,ウルトラ一覧!$A:$L,4,FALSE),"")</f>
        <v/>
      </c>
      <c r="N377">
        <f>IFERROR(VLOOKUP($D377,ウルトラ一覧!$A:$L,8,FALSE),"")</f>
        <v/>
      </c>
      <c r="O377">
        <f>IFERROR(VLOOKUP($D377,ウルトラ一覧!$A:$L,9,FALSE),"")</f>
        <v/>
      </c>
      <c r="P377">
        <f>IFERROR(VLOOKUP($D377,ウルトラ一覧!$A:$L,10,FALSE),"")</f>
        <v/>
      </c>
    </row>
    <row r="378">
      <c r="D378" s="4" t="n"/>
      <c r="K378">
        <f>IFERROR(VLOOKUP($D378,ウルトラ一覧!$A:$L,2,FALSE),"")</f>
        <v/>
      </c>
      <c r="L378">
        <f>IFERROR(VLOOKUP($D378,ウルトラ一覧!$A:$L,3,FALSE),"")</f>
        <v/>
      </c>
      <c r="M378">
        <f>IFERROR(VLOOKUP($D378,ウルトラ一覧!$A:$L,4,FALSE),"")</f>
        <v/>
      </c>
      <c r="N378">
        <f>IFERROR(VLOOKUP($D378,ウルトラ一覧!$A:$L,8,FALSE),"")</f>
        <v/>
      </c>
      <c r="O378">
        <f>IFERROR(VLOOKUP($D378,ウルトラ一覧!$A:$L,9,FALSE),"")</f>
        <v/>
      </c>
      <c r="P378">
        <f>IFERROR(VLOOKUP($D378,ウルトラ一覧!$A:$L,10,FALSE),"")</f>
        <v/>
      </c>
    </row>
    <row r="379">
      <c r="D379" s="4" t="n"/>
      <c r="K379">
        <f>IFERROR(VLOOKUP($D379,ウルトラ一覧!$A:$L,2,FALSE),"")</f>
        <v/>
      </c>
      <c r="L379">
        <f>IFERROR(VLOOKUP($D379,ウルトラ一覧!$A:$L,3,FALSE),"")</f>
        <v/>
      </c>
      <c r="M379">
        <f>IFERROR(VLOOKUP($D379,ウルトラ一覧!$A:$L,4,FALSE),"")</f>
        <v/>
      </c>
      <c r="N379">
        <f>IFERROR(VLOOKUP($D379,ウルトラ一覧!$A:$L,8,FALSE),"")</f>
        <v/>
      </c>
      <c r="O379">
        <f>IFERROR(VLOOKUP($D379,ウルトラ一覧!$A:$L,9,FALSE),"")</f>
        <v/>
      </c>
      <c r="P379">
        <f>IFERROR(VLOOKUP($D379,ウルトラ一覧!$A:$L,10,FALSE),"")</f>
        <v/>
      </c>
    </row>
    <row r="380">
      <c r="D380" s="4" t="n"/>
      <c r="K380">
        <f>IFERROR(VLOOKUP($D380,ウルトラ一覧!$A:$L,2,FALSE),"")</f>
        <v/>
      </c>
      <c r="L380">
        <f>IFERROR(VLOOKUP($D380,ウルトラ一覧!$A:$L,3,FALSE),"")</f>
        <v/>
      </c>
      <c r="M380">
        <f>IFERROR(VLOOKUP($D380,ウルトラ一覧!$A:$L,4,FALSE),"")</f>
        <v/>
      </c>
      <c r="N380">
        <f>IFERROR(VLOOKUP($D380,ウルトラ一覧!$A:$L,8,FALSE),"")</f>
        <v/>
      </c>
      <c r="O380">
        <f>IFERROR(VLOOKUP($D380,ウルトラ一覧!$A:$L,9,FALSE),"")</f>
        <v/>
      </c>
      <c r="P380">
        <f>IFERROR(VLOOKUP($D380,ウルトラ一覧!$A:$L,10,FALSE),"")</f>
        <v/>
      </c>
    </row>
    <row r="381">
      <c r="D381" s="4" t="n"/>
      <c r="K381">
        <f>IFERROR(VLOOKUP($D381,ウルトラ一覧!$A:$L,2,FALSE),"")</f>
        <v/>
      </c>
      <c r="L381">
        <f>IFERROR(VLOOKUP($D381,ウルトラ一覧!$A:$L,3,FALSE),"")</f>
        <v/>
      </c>
      <c r="M381">
        <f>IFERROR(VLOOKUP($D381,ウルトラ一覧!$A:$L,4,FALSE),"")</f>
        <v/>
      </c>
      <c r="N381">
        <f>IFERROR(VLOOKUP($D381,ウルトラ一覧!$A:$L,8,FALSE),"")</f>
        <v/>
      </c>
      <c r="O381">
        <f>IFERROR(VLOOKUP($D381,ウルトラ一覧!$A:$L,9,FALSE),"")</f>
        <v/>
      </c>
      <c r="P381">
        <f>IFERROR(VLOOKUP($D381,ウルトラ一覧!$A:$L,10,FALSE),"")</f>
        <v/>
      </c>
    </row>
    <row r="382">
      <c r="D382" s="4" t="n"/>
      <c r="K382">
        <f>IFERROR(VLOOKUP($D382,ウルトラ一覧!$A:$L,2,FALSE),"")</f>
        <v/>
      </c>
      <c r="L382">
        <f>IFERROR(VLOOKUP($D382,ウルトラ一覧!$A:$L,3,FALSE),"")</f>
        <v/>
      </c>
      <c r="M382">
        <f>IFERROR(VLOOKUP($D382,ウルトラ一覧!$A:$L,4,FALSE),"")</f>
        <v/>
      </c>
      <c r="N382">
        <f>IFERROR(VLOOKUP($D382,ウルトラ一覧!$A:$L,8,FALSE),"")</f>
        <v/>
      </c>
      <c r="O382">
        <f>IFERROR(VLOOKUP($D382,ウルトラ一覧!$A:$L,9,FALSE),"")</f>
        <v/>
      </c>
      <c r="P382">
        <f>IFERROR(VLOOKUP($D382,ウルトラ一覧!$A:$L,10,FALSE),"")</f>
        <v/>
      </c>
    </row>
    <row r="383">
      <c r="D383" s="4" t="n"/>
      <c r="K383">
        <f>IFERROR(VLOOKUP($D383,ウルトラ一覧!$A:$L,2,FALSE),"")</f>
        <v/>
      </c>
      <c r="L383">
        <f>IFERROR(VLOOKUP($D383,ウルトラ一覧!$A:$L,3,FALSE),"")</f>
        <v/>
      </c>
      <c r="M383">
        <f>IFERROR(VLOOKUP($D383,ウルトラ一覧!$A:$L,4,FALSE),"")</f>
        <v/>
      </c>
      <c r="N383">
        <f>IFERROR(VLOOKUP($D383,ウルトラ一覧!$A:$L,8,FALSE),"")</f>
        <v/>
      </c>
      <c r="O383">
        <f>IFERROR(VLOOKUP($D383,ウルトラ一覧!$A:$L,9,FALSE),"")</f>
        <v/>
      </c>
      <c r="P383">
        <f>IFERROR(VLOOKUP($D383,ウルトラ一覧!$A:$L,10,FALSE),"")</f>
        <v/>
      </c>
    </row>
    <row r="384">
      <c r="D384" s="4" t="n"/>
      <c r="K384">
        <f>IFERROR(VLOOKUP($D384,ウルトラ一覧!$A:$L,2,FALSE),"")</f>
        <v/>
      </c>
      <c r="L384">
        <f>IFERROR(VLOOKUP($D384,ウルトラ一覧!$A:$L,3,FALSE),"")</f>
        <v/>
      </c>
      <c r="M384">
        <f>IFERROR(VLOOKUP($D384,ウルトラ一覧!$A:$L,4,FALSE),"")</f>
        <v/>
      </c>
      <c r="N384">
        <f>IFERROR(VLOOKUP($D384,ウルトラ一覧!$A:$L,8,FALSE),"")</f>
        <v/>
      </c>
      <c r="O384">
        <f>IFERROR(VLOOKUP($D384,ウルトラ一覧!$A:$L,9,FALSE),"")</f>
        <v/>
      </c>
      <c r="P384">
        <f>IFERROR(VLOOKUP($D384,ウルトラ一覧!$A:$L,10,FALSE),"")</f>
        <v/>
      </c>
    </row>
    <row r="385">
      <c r="D385" s="4" t="n"/>
      <c r="K385">
        <f>IFERROR(VLOOKUP($D385,ウルトラ一覧!$A:$L,2,FALSE),"")</f>
        <v/>
      </c>
      <c r="L385">
        <f>IFERROR(VLOOKUP($D385,ウルトラ一覧!$A:$L,3,FALSE),"")</f>
        <v/>
      </c>
      <c r="M385">
        <f>IFERROR(VLOOKUP($D385,ウルトラ一覧!$A:$L,4,FALSE),"")</f>
        <v/>
      </c>
      <c r="N385">
        <f>IFERROR(VLOOKUP($D385,ウルトラ一覧!$A:$L,8,FALSE),"")</f>
        <v/>
      </c>
      <c r="O385">
        <f>IFERROR(VLOOKUP($D385,ウルトラ一覧!$A:$L,9,FALSE),"")</f>
        <v/>
      </c>
      <c r="P385">
        <f>IFERROR(VLOOKUP($D385,ウルトラ一覧!$A:$L,10,FALSE),"")</f>
        <v/>
      </c>
    </row>
    <row r="386">
      <c r="D386" s="4" t="n"/>
      <c r="K386">
        <f>IFERROR(VLOOKUP($D386,ウルトラ一覧!$A:$L,2,FALSE),"")</f>
        <v/>
      </c>
      <c r="L386">
        <f>IFERROR(VLOOKUP($D386,ウルトラ一覧!$A:$L,3,FALSE),"")</f>
        <v/>
      </c>
      <c r="M386">
        <f>IFERROR(VLOOKUP($D386,ウルトラ一覧!$A:$L,4,FALSE),"")</f>
        <v/>
      </c>
      <c r="N386">
        <f>IFERROR(VLOOKUP($D386,ウルトラ一覧!$A:$L,8,FALSE),"")</f>
        <v/>
      </c>
      <c r="O386">
        <f>IFERROR(VLOOKUP($D386,ウルトラ一覧!$A:$L,9,FALSE),"")</f>
        <v/>
      </c>
      <c r="P386">
        <f>IFERROR(VLOOKUP($D386,ウルトラ一覧!$A:$L,10,FALSE),"")</f>
        <v/>
      </c>
    </row>
    <row r="387">
      <c r="D387" s="4" t="n"/>
      <c r="K387">
        <f>IFERROR(VLOOKUP($D387,ウルトラ一覧!$A:$L,2,FALSE),"")</f>
        <v/>
      </c>
      <c r="L387">
        <f>IFERROR(VLOOKUP($D387,ウルトラ一覧!$A:$L,3,FALSE),"")</f>
        <v/>
      </c>
      <c r="M387">
        <f>IFERROR(VLOOKUP($D387,ウルトラ一覧!$A:$L,4,FALSE),"")</f>
        <v/>
      </c>
      <c r="N387">
        <f>IFERROR(VLOOKUP($D387,ウルトラ一覧!$A:$L,8,FALSE),"")</f>
        <v/>
      </c>
      <c r="O387">
        <f>IFERROR(VLOOKUP($D387,ウルトラ一覧!$A:$L,9,FALSE),"")</f>
        <v/>
      </c>
      <c r="P387">
        <f>IFERROR(VLOOKUP($D387,ウルトラ一覧!$A:$L,10,FALSE),"")</f>
        <v/>
      </c>
    </row>
    <row r="388">
      <c r="D388" s="4" t="n"/>
      <c r="K388">
        <f>IFERROR(VLOOKUP($D388,ウルトラ一覧!$A:$L,2,FALSE),"")</f>
        <v/>
      </c>
      <c r="L388">
        <f>IFERROR(VLOOKUP($D388,ウルトラ一覧!$A:$L,3,FALSE),"")</f>
        <v/>
      </c>
      <c r="M388">
        <f>IFERROR(VLOOKUP($D388,ウルトラ一覧!$A:$L,4,FALSE),"")</f>
        <v/>
      </c>
      <c r="N388">
        <f>IFERROR(VLOOKUP($D388,ウルトラ一覧!$A:$L,8,FALSE),"")</f>
        <v/>
      </c>
      <c r="O388">
        <f>IFERROR(VLOOKUP($D388,ウルトラ一覧!$A:$L,9,FALSE),"")</f>
        <v/>
      </c>
      <c r="P388">
        <f>IFERROR(VLOOKUP($D388,ウルトラ一覧!$A:$L,10,FALSE),"")</f>
        <v/>
      </c>
    </row>
    <row r="389">
      <c r="D389" s="4" t="n"/>
      <c r="K389">
        <f>IFERROR(VLOOKUP($D389,ウルトラ一覧!$A:$L,2,FALSE),"")</f>
        <v/>
      </c>
      <c r="L389">
        <f>IFERROR(VLOOKUP($D389,ウルトラ一覧!$A:$L,3,FALSE),"")</f>
        <v/>
      </c>
      <c r="M389">
        <f>IFERROR(VLOOKUP($D389,ウルトラ一覧!$A:$L,4,FALSE),"")</f>
        <v/>
      </c>
      <c r="N389">
        <f>IFERROR(VLOOKUP($D389,ウルトラ一覧!$A:$L,8,FALSE),"")</f>
        <v/>
      </c>
      <c r="O389">
        <f>IFERROR(VLOOKUP($D389,ウルトラ一覧!$A:$L,9,FALSE),"")</f>
        <v/>
      </c>
      <c r="P389">
        <f>IFERROR(VLOOKUP($D389,ウルトラ一覧!$A:$L,10,FALSE),"")</f>
        <v/>
      </c>
    </row>
    <row r="390">
      <c r="D390" s="4" t="n"/>
      <c r="K390">
        <f>IFERROR(VLOOKUP($D390,ウルトラ一覧!$A:$L,2,FALSE),"")</f>
        <v/>
      </c>
      <c r="L390">
        <f>IFERROR(VLOOKUP($D390,ウルトラ一覧!$A:$L,3,FALSE),"")</f>
        <v/>
      </c>
      <c r="M390">
        <f>IFERROR(VLOOKUP($D390,ウルトラ一覧!$A:$L,4,FALSE),"")</f>
        <v/>
      </c>
      <c r="N390">
        <f>IFERROR(VLOOKUP($D390,ウルトラ一覧!$A:$L,8,FALSE),"")</f>
        <v/>
      </c>
      <c r="O390">
        <f>IFERROR(VLOOKUP($D390,ウルトラ一覧!$A:$L,9,FALSE),"")</f>
        <v/>
      </c>
      <c r="P390">
        <f>IFERROR(VLOOKUP($D390,ウルトラ一覧!$A:$L,10,FALSE),"")</f>
        <v/>
      </c>
    </row>
    <row r="391">
      <c r="D391" s="4" t="n"/>
      <c r="K391">
        <f>IFERROR(VLOOKUP($D391,ウルトラ一覧!$A:$L,2,FALSE),"")</f>
        <v/>
      </c>
      <c r="L391">
        <f>IFERROR(VLOOKUP($D391,ウルトラ一覧!$A:$L,3,FALSE),"")</f>
        <v/>
      </c>
      <c r="M391">
        <f>IFERROR(VLOOKUP($D391,ウルトラ一覧!$A:$L,4,FALSE),"")</f>
        <v/>
      </c>
      <c r="N391">
        <f>IFERROR(VLOOKUP($D391,ウルトラ一覧!$A:$L,8,FALSE),"")</f>
        <v/>
      </c>
      <c r="O391">
        <f>IFERROR(VLOOKUP($D391,ウルトラ一覧!$A:$L,9,FALSE),"")</f>
        <v/>
      </c>
      <c r="P391">
        <f>IFERROR(VLOOKUP($D391,ウルトラ一覧!$A:$L,10,FALSE),"")</f>
        <v/>
      </c>
    </row>
    <row r="392">
      <c r="D392" s="4" t="n"/>
      <c r="K392">
        <f>IFERROR(VLOOKUP($D392,ウルトラ一覧!$A:$L,2,FALSE),"")</f>
        <v/>
      </c>
      <c r="L392">
        <f>IFERROR(VLOOKUP($D392,ウルトラ一覧!$A:$L,3,FALSE),"")</f>
        <v/>
      </c>
      <c r="M392">
        <f>IFERROR(VLOOKUP($D392,ウルトラ一覧!$A:$L,4,FALSE),"")</f>
        <v/>
      </c>
      <c r="N392">
        <f>IFERROR(VLOOKUP($D392,ウルトラ一覧!$A:$L,8,FALSE),"")</f>
        <v/>
      </c>
      <c r="O392">
        <f>IFERROR(VLOOKUP($D392,ウルトラ一覧!$A:$L,9,FALSE),"")</f>
        <v/>
      </c>
      <c r="P392">
        <f>IFERROR(VLOOKUP($D392,ウルトラ一覧!$A:$L,10,FALSE),"")</f>
        <v/>
      </c>
    </row>
    <row r="393">
      <c r="D393" s="4" t="n"/>
      <c r="K393">
        <f>IFERROR(VLOOKUP($D393,ウルトラ一覧!$A:$L,2,FALSE),"")</f>
        <v/>
      </c>
      <c r="L393">
        <f>IFERROR(VLOOKUP($D393,ウルトラ一覧!$A:$L,3,FALSE),"")</f>
        <v/>
      </c>
      <c r="M393">
        <f>IFERROR(VLOOKUP($D393,ウルトラ一覧!$A:$L,4,FALSE),"")</f>
        <v/>
      </c>
      <c r="N393">
        <f>IFERROR(VLOOKUP($D393,ウルトラ一覧!$A:$L,8,FALSE),"")</f>
        <v/>
      </c>
      <c r="O393">
        <f>IFERROR(VLOOKUP($D393,ウルトラ一覧!$A:$L,9,FALSE),"")</f>
        <v/>
      </c>
      <c r="P393">
        <f>IFERROR(VLOOKUP($D393,ウルトラ一覧!$A:$L,10,FALSE),"")</f>
        <v/>
      </c>
    </row>
    <row r="394">
      <c r="D394" s="4" t="n"/>
      <c r="K394">
        <f>IFERROR(VLOOKUP($D394,ウルトラ一覧!$A:$L,2,FALSE),"")</f>
        <v/>
      </c>
      <c r="L394">
        <f>IFERROR(VLOOKUP($D394,ウルトラ一覧!$A:$L,3,FALSE),"")</f>
        <v/>
      </c>
      <c r="M394">
        <f>IFERROR(VLOOKUP($D394,ウルトラ一覧!$A:$L,4,FALSE),"")</f>
        <v/>
      </c>
      <c r="N394">
        <f>IFERROR(VLOOKUP($D394,ウルトラ一覧!$A:$L,8,FALSE),"")</f>
        <v/>
      </c>
      <c r="O394">
        <f>IFERROR(VLOOKUP($D394,ウルトラ一覧!$A:$L,9,FALSE),"")</f>
        <v/>
      </c>
      <c r="P394">
        <f>IFERROR(VLOOKUP($D394,ウルトラ一覧!$A:$L,10,FALSE),"")</f>
        <v/>
      </c>
    </row>
    <row r="395">
      <c r="D395" s="4" t="n"/>
      <c r="K395">
        <f>IFERROR(VLOOKUP($D395,ウルトラ一覧!$A:$L,2,FALSE),"")</f>
        <v/>
      </c>
      <c r="L395">
        <f>IFERROR(VLOOKUP($D395,ウルトラ一覧!$A:$L,3,FALSE),"")</f>
        <v/>
      </c>
      <c r="M395">
        <f>IFERROR(VLOOKUP($D395,ウルトラ一覧!$A:$L,4,FALSE),"")</f>
        <v/>
      </c>
      <c r="N395">
        <f>IFERROR(VLOOKUP($D395,ウルトラ一覧!$A:$L,8,FALSE),"")</f>
        <v/>
      </c>
      <c r="O395">
        <f>IFERROR(VLOOKUP($D395,ウルトラ一覧!$A:$L,9,FALSE),"")</f>
        <v/>
      </c>
      <c r="P395">
        <f>IFERROR(VLOOKUP($D395,ウルトラ一覧!$A:$L,10,FALSE),"")</f>
        <v/>
      </c>
    </row>
    <row r="396">
      <c r="D396" s="4" t="n"/>
      <c r="K396">
        <f>IFERROR(VLOOKUP($D396,ウルトラ一覧!$A:$L,2,FALSE),"")</f>
        <v/>
      </c>
      <c r="L396">
        <f>IFERROR(VLOOKUP($D396,ウルトラ一覧!$A:$L,3,FALSE),"")</f>
        <v/>
      </c>
      <c r="M396">
        <f>IFERROR(VLOOKUP($D396,ウルトラ一覧!$A:$L,4,FALSE),"")</f>
        <v/>
      </c>
      <c r="N396">
        <f>IFERROR(VLOOKUP($D396,ウルトラ一覧!$A:$L,8,FALSE),"")</f>
        <v/>
      </c>
      <c r="O396">
        <f>IFERROR(VLOOKUP($D396,ウルトラ一覧!$A:$L,9,FALSE),"")</f>
        <v/>
      </c>
      <c r="P396">
        <f>IFERROR(VLOOKUP($D396,ウルトラ一覧!$A:$L,10,FALSE),"")</f>
        <v/>
      </c>
    </row>
    <row r="397">
      <c r="D397" s="4" t="n"/>
      <c r="K397">
        <f>IFERROR(VLOOKUP($D397,ウルトラ一覧!$A:$L,2,FALSE),"")</f>
        <v/>
      </c>
      <c r="L397">
        <f>IFERROR(VLOOKUP($D397,ウルトラ一覧!$A:$L,3,FALSE),"")</f>
        <v/>
      </c>
      <c r="M397">
        <f>IFERROR(VLOOKUP($D397,ウルトラ一覧!$A:$L,4,FALSE),"")</f>
        <v/>
      </c>
      <c r="N397">
        <f>IFERROR(VLOOKUP($D397,ウルトラ一覧!$A:$L,8,FALSE),"")</f>
        <v/>
      </c>
      <c r="O397">
        <f>IFERROR(VLOOKUP($D397,ウルトラ一覧!$A:$L,9,FALSE),"")</f>
        <v/>
      </c>
      <c r="P397">
        <f>IFERROR(VLOOKUP($D397,ウルトラ一覧!$A:$L,10,FALSE),"")</f>
        <v/>
      </c>
    </row>
    <row r="398">
      <c r="D398" s="4" t="n"/>
      <c r="K398">
        <f>IFERROR(VLOOKUP($D398,ウルトラ一覧!$A:$L,2,FALSE),"")</f>
        <v/>
      </c>
      <c r="L398">
        <f>IFERROR(VLOOKUP($D398,ウルトラ一覧!$A:$L,3,FALSE),"")</f>
        <v/>
      </c>
      <c r="M398">
        <f>IFERROR(VLOOKUP($D398,ウルトラ一覧!$A:$L,4,FALSE),"")</f>
        <v/>
      </c>
      <c r="N398">
        <f>IFERROR(VLOOKUP($D398,ウルトラ一覧!$A:$L,8,FALSE),"")</f>
        <v/>
      </c>
      <c r="O398">
        <f>IFERROR(VLOOKUP($D398,ウルトラ一覧!$A:$L,9,FALSE),"")</f>
        <v/>
      </c>
      <c r="P398">
        <f>IFERROR(VLOOKUP($D398,ウルトラ一覧!$A:$L,10,FALSE),"")</f>
        <v/>
      </c>
    </row>
    <row r="399">
      <c r="D399" s="4" t="n"/>
      <c r="K399">
        <f>IFERROR(VLOOKUP($D399,ウルトラ一覧!$A:$L,2,FALSE),"")</f>
        <v/>
      </c>
      <c r="L399">
        <f>IFERROR(VLOOKUP($D399,ウルトラ一覧!$A:$L,3,FALSE),"")</f>
        <v/>
      </c>
      <c r="M399">
        <f>IFERROR(VLOOKUP($D399,ウルトラ一覧!$A:$L,4,FALSE),"")</f>
        <v/>
      </c>
      <c r="N399">
        <f>IFERROR(VLOOKUP($D399,ウルトラ一覧!$A:$L,8,FALSE),"")</f>
        <v/>
      </c>
      <c r="O399">
        <f>IFERROR(VLOOKUP($D399,ウルトラ一覧!$A:$L,9,FALSE),"")</f>
        <v/>
      </c>
      <c r="P399">
        <f>IFERROR(VLOOKUP($D399,ウルトラ一覧!$A:$L,10,FALSE),"")</f>
        <v/>
      </c>
    </row>
    <row r="400">
      <c r="D400" s="4" t="n"/>
      <c r="K400">
        <f>IFERROR(VLOOKUP($D400,ウルトラ一覧!$A:$L,2,FALSE),"")</f>
        <v/>
      </c>
      <c r="L400">
        <f>IFERROR(VLOOKUP($D400,ウルトラ一覧!$A:$L,3,FALSE),"")</f>
        <v/>
      </c>
      <c r="M400">
        <f>IFERROR(VLOOKUP($D400,ウルトラ一覧!$A:$L,4,FALSE),"")</f>
        <v/>
      </c>
      <c r="N400">
        <f>IFERROR(VLOOKUP($D400,ウルトラ一覧!$A:$L,8,FALSE),"")</f>
        <v/>
      </c>
      <c r="O400">
        <f>IFERROR(VLOOKUP($D400,ウルトラ一覧!$A:$L,9,FALSE),"")</f>
        <v/>
      </c>
      <c r="P400">
        <f>IFERROR(VLOOKUP($D400,ウルトラ一覧!$A:$L,10,FALSE),"")</f>
        <v/>
      </c>
    </row>
    <row r="401">
      <c r="D401" s="4" t="n"/>
      <c r="K401">
        <f>IFERROR(VLOOKUP($D401,ウルトラ一覧!$A:$L,2,FALSE),"")</f>
        <v/>
      </c>
      <c r="L401">
        <f>IFERROR(VLOOKUP($D401,ウルトラ一覧!$A:$L,3,FALSE),"")</f>
        <v/>
      </c>
      <c r="M401">
        <f>IFERROR(VLOOKUP($D401,ウルトラ一覧!$A:$L,4,FALSE),"")</f>
        <v/>
      </c>
      <c r="N401">
        <f>IFERROR(VLOOKUP($D401,ウルトラ一覧!$A:$L,8,FALSE),"")</f>
        <v/>
      </c>
      <c r="O401">
        <f>IFERROR(VLOOKUP($D401,ウルトラ一覧!$A:$L,9,FALSE),"")</f>
        <v/>
      </c>
      <c r="P401">
        <f>IFERROR(VLOOKUP($D401,ウルトラ一覧!$A:$L,10,FALSE),"")</f>
        <v/>
      </c>
    </row>
    <row r="402">
      <c r="D402" s="4" t="n"/>
      <c r="K402">
        <f>IFERROR(VLOOKUP($D402,ウルトラ一覧!$A:$L,2,FALSE),"")</f>
        <v/>
      </c>
      <c r="L402">
        <f>IFERROR(VLOOKUP($D402,ウルトラ一覧!$A:$L,3,FALSE),"")</f>
        <v/>
      </c>
      <c r="M402">
        <f>IFERROR(VLOOKUP($D402,ウルトラ一覧!$A:$L,4,FALSE),"")</f>
        <v/>
      </c>
      <c r="N402">
        <f>IFERROR(VLOOKUP($D402,ウルトラ一覧!$A:$L,8,FALSE),"")</f>
        <v/>
      </c>
      <c r="O402">
        <f>IFERROR(VLOOKUP($D402,ウルトラ一覧!$A:$L,9,FALSE),"")</f>
        <v/>
      </c>
      <c r="P402">
        <f>IFERROR(VLOOKUP($D402,ウルトラ一覧!$A:$L,10,FALSE),"")</f>
        <v/>
      </c>
    </row>
    <row r="403">
      <c r="D403" s="4" t="n"/>
      <c r="K403">
        <f>IFERROR(VLOOKUP($D403,ウルトラ一覧!$A:$L,2,FALSE),"")</f>
        <v/>
      </c>
      <c r="L403">
        <f>IFERROR(VLOOKUP($D403,ウルトラ一覧!$A:$L,3,FALSE),"")</f>
        <v/>
      </c>
      <c r="M403">
        <f>IFERROR(VLOOKUP($D403,ウルトラ一覧!$A:$L,4,FALSE),"")</f>
        <v/>
      </c>
      <c r="N403">
        <f>IFERROR(VLOOKUP($D403,ウルトラ一覧!$A:$L,8,FALSE),"")</f>
        <v/>
      </c>
      <c r="O403">
        <f>IFERROR(VLOOKUP($D403,ウルトラ一覧!$A:$L,9,FALSE),"")</f>
        <v/>
      </c>
      <c r="P403">
        <f>IFERROR(VLOOKUP($D403,ウルトラ一覧!$A:$L,10,FALSE),"")</f>
        <v/>
      </c>
    </row>
    <row r="404">
      <c r="D404" s="4" t="n"/>
      <c r="K404">
        <f>IFERROR(VLOOKUP($D404,ウルトラ一覧!$A:$L,2,FALSE),"")</f>
        <v/>
      </c>
      <c r="L404">
        <f>IFERROR(VLOOKUP($D404,ウルトラ一覧!$A:$L,3,FALSE),"")</f>
        <v/>
      </c>
      <c r="M404">
        <f>IFERROR(VLOOKUP($D404,ウルトラ一覧!$A:$L,4,FALSE),"")</f>
        <v/>
      </c>
      <c r="N404">
        <f>IFERROR(VLOOKUP($D404,ウルトラ一覧!$A:$L,8,FALSE),"")</f>
        <v/>
      </c>
      <c r="O404">
        <f>IFERROR(VLOOKUP($D404,ウルトラ一覧!$A:$L,9,FALSE),"")</f>
        <v/>
      </c>
      <c r="P404">
        <f>IFERROR(VLOOKUP($D404,ウルトラ一覧!$A:$L,10,FALSE),"")</f>
        <v/>
      </c>
    </row>
    <row r="405">
      <c r="D405" s="4" t="n"/>
      <c r="K405">
        <f>IFERROR(VLOOKUP($D405,ウルトラ一覧!$A:$L,2,FALSE),"")</f>
        <v/>
      </c>
      <c r="L405">
        <f>IFERROR(VLOOKUP($D405,ウルトラ一覧!$A:$L,3,FALSE),"")</f>
        <v/>
      </c>
      <c r="M405">
        <f>IFERROR(VLOOKUP($D405,ウルトラ一覧!$A:$L,4,FALSE),"")</f>
        <v/>
      </c>
      <c r="N405">
        <f>IFERROR(VLOOKUP($D405,ウルトラ一覧!$A:$L,8,FALSE),"")</f>
        <v/>
      </c>
      <c r="O405">
        <f>IFERROR(VLOOKUP($D405,ウルトラ一覧!$A:$L,9,FALSE),"")</f>
        <v/>
      </c>
      <c r="P405">
        <f>IFERROR(VLOOKUP($D405,ウルトラ一覧!$A:$L,10,FALSE),"")</f>
        <v/>
      </c>
    </row>
    <row r="406">
      <c r="D406" s="4" t="n"/>
      <c r="K406">
        <f>IFERROR(VLOOKUP($D406,ウルトラ一覧!$A:$L,2,FALSE),"")</f>
        <v/>
      </c>
      <c r="L406">
        <f>IFERROR(VLOOKUP($D406,ウルトラ一覧!$A:$L,3,FALSE),"")</f>
        <v/>
      </c>
      <c r="M406">
        <f>IFERROR(VLOOKUP($D406,ウルトラ一覧!$A:$L,4,FALSE),"")</f>
        <v/>
      </c>
      <c r="N406">
        <f>IFERROR(VLOOKUP($D406,ウルトラ一覧!$A:$L,8,FALSE),"")</f>
        <v/>
      </c>
      <c r="O406">
        <f>IFERROR(VLOOKUP($D406,ウルトラ一覧!$A:$L,9,FALSE),"")</f>
        <v/>
      </c>
      <c r="P406">
        <f>IFERROR(VLOOKUP($D406,ウルトラ一覧!$A:$L,10,FALSE),"")</f>
        <v/>
      </c>
    </row>
    <row r="407">
      <c r="D407" s="4" t="n"/>
      <c r="K407">
        <f>IFERROR(VLOOKUP($D407,ウルトラ一覧!$A:$L,2,FALSE),"")</f>
        <v/>
      </c>
      <c r="L407">
        <f>IFERROR(VLOOKUP($D407,ウルトラ一覧!$A:$L,3,FALSE),"")</f>
        <v/>
      </c>
      <c r="M407">
        <f>IFERROR(VLOOKUP($D407,ウルトラ一覧!$A:$L,4,FALSE),"")</f>
        <v/>
      </c>
      <c r="N407">
        <f>IFERROR(VLOOKUP($D407,ウルトラ一覧!$A:$L,8,FALSE),"")</f>
        <v/>
      </c>
      <c r="O407">
        <f>IFERROR(VLOOKUP($D407,ウルトラ一覧!$A:$L,9,FALSE),"")</f>
        <v/>
      </c>
      <c r="P407">
        <f>IFERROR(VLOOKUP($D407,ウルトラ一覧!$A:$L,10,FALSE),"")</f>
        <v/>
      </c>
    </row>
    <row r="408">
      <c r="D408" s="4" t="n"/>
      <c r="K408">
        <f>IFERROR(VLOOKUP($D408,ウルトラ一覧!$A:$L,2,FALSE),"")</f>
        <v/>
      </c>
      <c r="L408">
        <f>IFERROR(VLOOKUP($D408,ウルトラ一覧!$A:$L,3,FALSE),"")</f>
        <v/>
      </c>
      <c r="M408">
        <f>IFERROR(VLOOKUP($D408,ウルトラ一覧!$A:$L,4,FALSE),"")</f>
        <v/>
      </c>
      <c r="N408">
        <f>IFERROR(VLOOKUP($D408,ウルトラ一覧!$A:$L,8,FALSE),"")</f>
        <v/>
      </c>
      <c r="O408">
        <f>IFERROR(VLOOKUP($D408,ウルトラ一覧!$A:$L,9,FALSE),"")</f>
        <v/>
      </c>
      <c r="P408">
        <f>IFERROR(VLOOKUP($D408,ウルトラ一覧!$A:$L,10,FALSE),"")</f>
        <v/>
      </c>
    </row>
    <row r="409">
      <c r="D409" s="4" t="n"/>
      <c r="K409">
        <f>IFERROR(VLOOKUP($D409,ウルトラ一覧!$A:$L,2,FALSE),"")</f>
        <v/>
      </c>
      <c r="L409">
        <f>IFERROR(VLOOKUP($D409,ウルトラ一覧!$A:$L,3,FALSE),"")</f>
        <v/>
      </c>
      <c r="M409">
        <f>IFERROR(VLOOKUP($D409,ウルトラ一覧!$A:$L,4,FALSE),"")</f>
        <v/>
      </c>
      <c r="N409">
        <f>IFERROR(VLOOKUP($D409,ウルトラ一覧!$A:$L,8,FALSE),"")</f>
        <v/>
      </c>
      <c r="O409">
        <f>IFERROR(VLOOKUP($D409,ウルトラ一覧!$A:$L,9,FALSE),"")</f>
        <v/>
      </c>
      <c r="P409">
        <f>IFERROR(VLOOKUP($D409,ウルトラ一覧!$A:$L,10,FALSE),"")</f>
        <v/>
      </c>
    </row>
    <row r="410">
      <c r="D410" s="4" t="n"/>
      <c r="K410">
        <f>IFERROR(VLOOKUP($D410,ウルトラ一覧!$A:$L,2,FALSE),"")</f>
        <v/>
      </c>
      <c r="L410">
        <f>IFERROR(VLOOKUP($D410,ウルトラ一覧!$A:$L,3,FALSE),"")</f>
        <v/>
      </c>
      <c r="M410">
        <f>IFERROR(VLOOKUP($D410,ウルトラ一覧!$A:$L,4,FALSE),"")</f>
        <v/>
      </c>
      <c r="N410">
        <f>IFERROR(VLOOKUP($D410,ウルトラ一覧!$A:$L,8,FALSE),"")</f>
        <v/>
      </c>
      <c r="O410">
        <f>IFERROR(VLOOKUP($D410,ウルトラ一覧!$A:$L,9,FALSE),"")</f>
        <v/>
      </c>
      <c r="P410">
        <f>IFERROR(VLOOKUP($D410,ウルトラ一覧!$A:$L,10,FALSE),"")</f>
        <v/>
      </c>
    </row>
    <row r="411">
      <c r="D411" s="4" t="n"/>
      <c r="K411">
        <f>IFERROR(VLOOKUP($D411,ウルトラ一覧!$A:$L,2,FALSE),"")</f>
        <v/>
      </c>
      <c r="L411">
        <f>IFERROR(VLOOKUP($D411,ウルトラ一覧!$A:$L,3,FALSE),"")</f>
        <v/>
      </c>
      <c r="M411">
        <f>IFERROR(VLOOKUP($D411,ウルトラ一覧!$A:$L,4,FALSE),"")</f>
        <v/>
      </c>
      <c r="N411">
        <f>IFERROR(VLOOKUP($D411,ウルトラ一覧!$A:$L,8,FALSE),"")</f>
        <v/>
      </c>
      <c r="O411">
        <f>IFERROR(VLOOKUP($D411,ウルトラ一覧!$A:$L,9,FALSE),"")</f>
        <v/>
      </c>
      <c r="P411">
        <f>IFERROR(VLOOKUP($D411,ウルトラ一覧!$A:$L,10,FALSE),"")</f>
        <v/>
      </c>
    </row>
    <row r="412">
      <c r="D412" s="4" t="n"/>
      <c r="K412">
        <f>IFERROR(VLOOKUP($D412,ウルトラ一覧!$A:$L,2,FALSE),"")</f>
        <v/>
      </c>
      <c r="L412">
        <f>IFERROR(VLOOKUP($D412,ウルトラ一覧!$A:$L,3,FALSE),"")</f>
        <v/>
      </c>
      <c r="M412">
        <f>IFERROR(VLOOKUP($D412,ウルトラ一覧!$A:$L,4,FALSE),"")</f>
        <v/>
      </c>
      <c r="N412">
        <f>IFERROR(VLOOKUP($D412,ウルトラ一覧!$A:$L,8,FALSE),"")</f>
        <v/>
      </c>
      <c r="O412">
        <f>IFERROR(VLOOKUP($D412,ウルトラ一覧!$A:$L,9,FALSE),"")</f>
        <v/>
      </c>
      <c r="P412">
        <f>IFERROR(VLOOKUP($D412,ウルトラ一覧!$A:$L,10,FALSE),"")</f>
        <v/>
      </c>
    </row>
    <row r="413">
      <c r="D413" s="4" t="n"/>
      <c r="K413">
        <f>IFERROR(VLOOKUP($D413,ウルトラ一覧!$A:$L,2,FALSE),"")</f>
        <v/>
      </c>
      <c r="L413">
        <f>IFERROR(VLOOKUP($D413,ウルトラ一覧!$A:$L,3,FALSE),"")</f>
        <v/>
      </c>
      <c r="M413">
        <f>IFERROR(VLOOKUP($D413,ウルトラ一覧!$A:$L,4,FALSE),"")</f>
        <v/>
      </c>
      <c r="N413">
        <f>IFERROR(VLOOKUP($D413,ウルトラ一覧!$A:$L,8,FALSE),"")</f>
        <v/>
      </c>
      <c r="O413">
        <f>IFERROR(VLOOKUP($D413,ウルトラ一覧!$A:$L,9,FALSE),"")</f>
        <v/>
      </c>
      <c r="P413">
        <f>IFERROR(VLOOKUP($D413,ウルトラ一覧!$A:$L,10,FALSE),"")</f>
        <v/>
      </c>
    </row>
    <row r="414">
      <c r="D414" s="4" t="n"/>
      <c r="K414">
        <f>IFERROR(VLOOKUP($D414,ウルトラ一覧!$A:$L,2,FALSE),"")</f>
        <v/>
      </c>
      <c r="L414">
        <f>IFERROR(VLOOKUP($D414,ウルトラ一覧!$A:$L,3,FALSE),"")</f>
        <v/>
      </c>
      <c r="M414">
        <f>IFERROR(VLOOKUP($D414,ウルトラ一覧!$A:$L,4,FALSE),"")</f>
        <v/>
      </c>
      <c r="N414">
        <f>IFERROR(VLOOKUP($D414,ウルトラ一覧!$A:$L,8,FALSE),"")</f>
        <v/>
      </c>
      <c r="O414">
        <f>IFERROR(VLOOKUP($D414,ウルトラ一覧!$A:$L,9,FALSE),"")</f>
        <v/>
      </c>
      <c r="P414">
        <f>IFERROR(VLOOKUP($D414,ウルトラ一覧!$A:$L,10,FALSE),"")</f>
        <v/>
      </c>
    </row>
    <row r="415">
      <c r="D415" s="4" t="n"/>
      <c r="K415">
        <f>IFERROR(VLOOKUP($D415,ウルトラ一覧!$A:$L,2,FALSE),"")</f>
        <v/>
      </c>
      <c r="L415">
        <f>IFERROR(VLOOKUP($D415,ウルトラ一覧!$A:$L,3,FALSE),"")</f>
        <v/>
      </c>
      <c r="M415">
        <f>IFERROR(VLOOKUP($D415,ウルトラ一覧!$A:$L,4,FALSE),"")</f>
        <v/>
      </c>
      <c r="N415">
        <f>IFERROR(VLOOKUP($D415,ウルトラ一覧!$A:$L,8,FALSE),"")</f>
        <v/>
      </c>
      <c r="O415">
        <f>IFERROR(VLOOKUP($D415,ウルトラ一覧!$A:$L,9,FALSE),"")</f>
        <v/>
      </c>
      <c r="P415">
        <f>IFERROR(VLOOKUP($D415,ウルトラ一覧!$A:$L,10,FALSE),"")</f>
        <v/>
      </c>
    </row>
    <row r="416">
      <c r="D416" s="4" t="n"/>
      <c r="K416">
        <f>IFERROR(VLOOKUP($D416,ウルトラ一覧!$A:$L,2,FALSE),"")</f>
        <v/>
      </c>
      <c r="L416">
        <f>IFERROR(VLOOKUP($D416,ウルトラ一覧!$A:$L,3,FALSE),"")</f>
        <v/>
      </c>
      <c r="M416">
        <f>IFERROR(VLOOKUP($D416,ウルトラ一覧!$A:$L,4,FALSE),"")</f>
        <v/>
      </c>
      <c r="N416">
        <f>IFERROR(VLOOKUP($D416,ウルトラ一覧!$A:$L,8,FALSE),"")</f>
        <v/>
      </c>
      <c r="O416">
        <f>IFERROR(VLOOKUP($D416,ウルトラ一覧!$A:$L,9,FALSE),"")</f>
        <v/>
      </c>
      <c r="P416">
        <f>IFERROR(VLOOKUP($D416,ウルトラ一覧!$A:$L,10,FALSE),"")</f>
        <v/>
      </c>
    </row>
    <row r="417">
      <c r="D417" s="4" t="n"/>
      <c r="K417">
        <f>IFERROR(VLOOKUP($D417,ウルトラ一覧!$A:$L,2,FALSE),"")</f>
        <v/>
      </c>
      <c r="L417">
        <f>IFERROR(VLOOKUP($D417,ウルトラ一覧!$A:$L,3,FALSE),"")</f>
        <v/>
      </c>
      <c r="M417">
        <f>IFERROR(VLOOKUP($D417,ウルトラ一覧!$A:$L,4,FALSE),"")</f>
        <v/>
      </c>
      <c r="N417">
        <f>IFERROR(VLOOKUP($D417,ウルトラ一覧!$A:$L,8,FALSE),"")</f>
        <v/>
      </c>
      <c r="O417">
        <f>IFERROR(VLOOKUP($D417,ウルトラ一覧!$A:$L,9,FALSE),"")</f>
        <v/>
      </c>
      <c r="P417">
        <f>IFERROR(VLOOKUP($D417,ウルトラ一覧!$A:$L,10,FALSE),"")</f>
        <v/>
      </c>
    </row>
    <row r="418">
      <c r="D418" s="4" t="n"/>
      <c r="K418">
        <f>IFERROR(VLOOKUP($D418,ウルトラ一覧!$A:$L,2,FALSE),"")</f>
        <v/>
      </c>
      <c r="L418">
        <f>IFERROR(VLOOKUP($D418,ウルトラ一覧!$A:$L,3,FALSE),"")</f>
        <v/>
      </c>
      <c r="M418">
        <f>IFERROR(VLOOKUP($D418,ウルトラ一覧!$A:$L,4,FALSE),"")</f>
        <v/>
      </c>
      <c r="N418">
        <f>IFERROR(VLOOKUP($D418,ウルトラ一覧!$A:$L,8,FALSE),"")</f>
        <v/>
      </c>
      <c r="O418">
        <f>IFERROR(VLOOKUP($D418,ウルトラ一覧!$A:$L,9,FALSE),"")</f>
        <v/>
      </c>
      <c r="P418">
        <f>IFERROR(VLOOKUP($D418,ウルトラ一覧!$A:$L,10,FALSE),"")</f>
        <v/>
      </c>
    </row>
    <row r="419">
      <c r="D419" s="4" t="n"/>
      <c r="K419">
        <f>IFERROR(VLOOKUP($D419,ウルトラ一覧!$A:$L,2,FALSE),"")</f>
        <v/>
      </c>
      <c r="L419">
        <f>IFERROR(VLOOKUP($D419,ウルトラ一覧!$A:$L,3,FALSE),"")</f>
        <v/>
      </c>
      <c r="M419">
        <f>IFERROR(VLOOKUP($D419,ウルトラ一覧!$A:$L,4,FALSE),"")</f>
        <v/>
      </c>
      <c r="N419">
        <f>IFERROR(VLOOKUP($D419,ウルトラ一覧!$A:$L,8,FALSE),"")</f>
        <v/>
      </c>
      <c r="O419">
        <f>IFERROR(VLOOKUP($D419,ウルトラ一覧!$A:$L,9,FALSE),"")</f>
        <v/>
      </c>
      <c r="P419">
        <f>IFERROR(VLOOKUP($D419,ウルトラ一覧!$A:$L,10,FALSE),"")</f>
        <v/>
      </c>
    </row>
    <row r="420">
      <c r="D420" s="4" t="n"/>
      <c r="K420">
        <f>IFERROR(VLOOKUP($D420,ウルトラ一覧!$A:$L,2,FALSE),"")</f>
        <v/>
      </c>
      <c r="L420">
        <f>IFERROR(VLOOKUP($D420,ウルトラ一覧!$A:$L,3,FALSE),"")</f>
        <v/>
      </c>
      <c r="M420">
        <f>IFERROR(VLOOKUP($D420,ウルトラ一覧!$A:$L,4,FALSE),"")</f>
        <v/>
      </c>
      <c r="N420">
        <f>IFERROR(VLOOKUP($D420,ウルトラ一覧!$A:$L,8,FALSE),"")</f>
        <v/>
      </c>
      <c r="O420">
        <f>IFERROR(VLOOKUP($D420,ウルトラ一覧!$A:$L,9,FALSE),"")</f>
        <v/>
      </c>
      <c r="P420">
        <f>IFERROR(VLOOKUP($D420,ウルトラ一覧!$A:$L,10,FALSE),"")</f>
        <v/>
      </c>
    </row>
    <row r="421">
      <c r="D421" s="4" t="n"/>
      <c r="K421">
        <f>IFERROR(VLOOKUP($D421,ウルトラ一覧!$A:$L,2,FALSE),"")</f>
        <v/>
      </c>
      <c r="L421">
        <f>IFERROR(VLOOKUP($D421,ウルトラ一覧!$A:$L,3,FALSE),"")</f>
        <v/>
      </c>
      <c r="M421">
        <f>IFERROR(VLOOKUP($D421,ウルトラ一覧!$A:$L,4,FALSE),"")</f>
        <v/>
      </c>
      <c r="N421">
        <f>IFERROR(VLOOKUP($D421,ウルトラ一覧!$A:$L,8,FALSE),"")</f>
        <v/>
      </c>
      <c r="O421">
        <f>IFERROR(VLOOKUP($D421,ウルトラ一覧!$A:$L,9,FALSE),"")</f>
        <v/>
      </c>
      <c r="P421">
        <f>IFERROR(VLOOKUP($D421,ウルトラ一覧!$A:$L,10,FALSE),"")</f>
        <v/>
      </c>
    </row>
    <row r="422">
      <c r="D422" s="4" t="n"/>
      <c r="K422">
        <f>IFERROR(VLOOKUP($D422,ウルトラ一覧!$A:$L,2,FALSE),"")</f>
        <v/>
      </c>
      <c r="L422">
        <f>IFERROR(VLOOKUP($D422,ウルトラ一覧!$A:$L,3,FALSE),"")</f>
        <v/>
      </c>
      <c r="M422">
        <f>IFERROR(VLOOKUP($D422,ウルトラ一覧!$A:$L,4,FALSE),"")</f>
        <v/>
      </c>
      <c r="N422">
        <f>IFERROR(VLOOKUP($D422,ウルトラ一覧!$A:$L,8,FALSE),"")</f>
        <v/>
      </c>
      <c r="O422">
        <f>IFERROR(VLOOKUP($D422,ウルトラ一覧!$A:$L,9,FALSE),"")</f>
        <v/>
      </c>
      <c r="P422">
        <f>IFERROR(VLOOKUP($D422,ウルトラ一覧!$A:$L,10,FALSE),"")</f>
        <v/>
      </c>
    </row>
    <row r="423">
      <c r="D423" s="4" t="n"/>
      <c r="K423">
        <f>IFERROR(VLOOKUP($D423,ウルトラ一覧!$A:$L,2,FALSE),"")</f>
        <v/>
      </c>
      <c r="L423">
        <f>IFERROR(VLOOKUP($D423,ウルトラ一覧!$A:$L,3,FALSE),"")</f>
        <v/>
      </c>
      <c r="M423">
        <f>IFERROR(VLOOKUP($D423,ウルトラ一覧!$A:$L,4,FALSE),"")</f>
        <v/>
      </c>
      <c r="N423">
        <f>IFERROR(VLOOKUP($D423,ウルトラ一覧!$A:$L,8,FALSE),"")</f>
        <v/>
      </c>
      <c r="O423">
        <f>IFERROR(VLOOKUP($D423,ウルトラ一覧!$A:$L,9,FALSE),"")</f>
        <v/>
      </c>
      <c r="P423">
        <f>IFERROR(VLOOKUP($D423,ウルトラ一覧!$A:$L,10,FALSE),"")</f>
        <v/>
      </c>
    </row>
    <row r="424">
      <c r="D424" s="4" t="n"/>
      <c r="K424">
        <f>IFERROR(VLOOKUP($D424,ウルトラ一覧!$A:$L,2,FALSE),"")</f>
        <v/>
      </c>
      <c r="L424">
        <f>IFERROR(VLOOKUP($D424,ウルトラ一覧!$A:$L,3,FALSE),"")</f>
        <v/>
      </c>
      <c r="M424">
        <f>IFERROR(VLOOKUP($D424,ウルトラ一覧!$A:$L,4,FALSE),"")</f>
        <v/>
      </c>
      <c r="N424">
        <f>IFERROR(VLOOKUP($D424,ウルトラ一覧!$A:$L,8,FALSE),"")</f>
        <v/>
      </c>
      <c r="O424">
        <f>IFERROR(VLOOKUP($D424,ウルトラ一覧!$A:$L,9,FALSE),"")</f>
        <v/>
      </c>
      <c r="P424">
        <f>IFERROR(VLOOKUP($D424,ウルトラ一覧!$A:$L,10,FALSE),"")</f>
        <v/>
      </c>
    </row>
    <row r="425">
      <c r="D425" s="4" t="n"/>
      <c r="K425">
        <f>IFERROR(VLOOKUP($D425,ウルトラ一覧!$A:$L,2,FALSE),"")</f>
        <v/>
      </c>
      <c r="L425">
        <f>IFERROR(VLOOKUP($D425,ウルトラ一覧!$A:$L,3,FALSE),"")</f>
        <v/>
      </c>
      <c r="M425">
        <f>IFERROR(VLOOKUP($D425,ウルトラ一覧!$A:$L,4,FALSE),"")</f>
        <v/>
      </c>
      <c r="N425">
        <f>IFERROR(VLOOKUP($D425,ウルトラ一覧!$A:$L,8,FALSE),"")</f>
        <v/>
      </c>
      <c r="O425">
        <f>IFERROR(VLOOKUP($D425,ウルトラ一覧!$A:$L,9,FALSE),"")</f>
        <v/>
      </c>
      <c r="P425">
        <f>IFERROR(VLOOKUP($D425,ウルトラ一覧!$A:$L,10,FALSE),"")</f>
        <v/>
      </c>
    </row>
    <row r="426">
      <c r="D426" s="4" t="n"/>
      <c r="K426">
        <f>IFERROR(VLOOKUP($D426,ウルトラ一覧!$A:$L,2,FALSE),"")</f>
        <v/>
      </c>
      <c r="L426">
        <f>IFERROR(VLOOKUP($D426,ウルトラ一覧!$A:$L,3,FALSE),"")</f>
        <v/>
      </c>
      <c r="M426">
        <f>IFERROR(VLOOKUP($D426,ウルトラ一覧!$A:$L,4,FALSE),"")</f>
        <v/>
      </c>
      <c r="N426">
        <f>IFERROR(VLOOKUP($D426,ウルトラ一覧!$A:$L,8,FALSE),"")</f>
        <v/>
      </c>
      <c r="O426">
        <f>IFERROR(VLOOKUP($D426,ウルトラ一覧!$A:$L,9,FALSE),"")</f>
        <v/>
      </c>
      <c r="P426">
        <f>IFERROR(VLOOKUP($D426,ウルトラ一覧!$A:$L,10,FALSE),"")</f>
        <v/>
      </c>
    </row>
    <row r="427">
      <c r="D427" s="4" t="n"/>
      <c r="K427">
        <f>IFERROR(VLOOKUP($D427,ウルトラ一覧!$A:$L,2,FALSE),"")</f>
        <v/>
      </c>
      <c r="L427">
        <f>IFERROR(VLOOKUP($D427,ウルトラ一覧!$A:$L,3,FALSE),"")</f>
        <v/>
      </c>
      <c r="M427">
        <f>IFERROR(VLOOKUP($D427,ウルトラ一覧!$A:$L,4,FALSE),"")</f>
        <v/>
      </c>
      <c r="N427">
        <f>IFERROR(VLOOKUP($D427,ウルトラ一覧!$A:$L,8,FALSE),"")</f>
        <v/>
      </c>
      <c r="O427">
        <f>IFERROR(VLOOKUP($D427,ウルトラ一覧!$A:$L,9,FALSE),"")</f>
        <v/>
      </c>
      <c r="P427">
        <f>IFERROR(VLOOKUP($D427,ウルトラ一覧!$A:$L,10,FALSE),"")</f>
        <v/>
      </c>
    </row>
    <row r="428">
      <c r="D428" s="4" t="n"/>
      <c r="K428">
        <f>IFERROR(VLOOKUP($D428,ウルトラ一覧!$A:$L,2,FALSE),"")</f>
        <v/>
      </c>
      <c r="L428">
        <f>IFERROR(VLOOKUP($D428,ウルトラ一覧!$A:$L,3,FALSE),"")</f>
        <v/>
      </c>
      <c r="M428">
        <f>IFERROR(VLOOKUP($D428,ウルトラ一覧!$A:$L,4,FALSE),"")</f>
        <v/>
      </c>
      <c r="N428">
        <f>IFERROR(VLOOKUP($D428,ウルトラ一覧!$A:$L,8,FALSE),"")</f>
        <v/>
      </c>
      <c r="O428">
        <f>IFERROR(VLOOKUP($D428,ウルトラ一覧!$A:$L,9,FALSE),"")</f>
        <v/>
      </c>
      <c r="P428">
        <f>IFERROR(VLOOKUP($D428,ウルトラ一覧!$A:$L,10,FALSE),"")</f>
        <v/>
      </c>
    </row>
    <row r="429">
      <c r="D429" s="4" t="n"/>
      <c r="K429">
        <f>IFERROR(VLOOKUP($D429,ウルトラ一覧!$A:$L,2,FALSE),"")</f>
        <v/>
      </c>
      <c r="L429">
        <f>IFERROR(VLOOKUP($D429,ウルトラ一覧!$A:$L,3,FALSE),"")</f>
        <v/>
      </c>
      <c r="M429">
        <f>IFERROR(VLOOKUP($D429,ウルトラ一覧!$A:$L,4,FALSE),"")</f>
        <v/>
      </c>
      <c r="N429">
        <f>IFERROR(VLOOKUP($D429,ウルトラ一覧!$A:$L,8,FALSE),"")</f>
        <v/>
      </c>
      <c r="O429">
        <f>IFERROR(VLOOKUP($D429,ウルトラ一覧!$A:$L,9,FALSE),"")</f>
        <v/>
      </c>
      <c r="P429">
        <f>IFERROR(VLOOKUP($D429,ウルトラ一覧!$A:$L,10,FALSE),"")</f>
        <v/>
      </c>
    </row>
    <row r="430">
      <c r="D430" s="4" t="n"/>
      <c r="K430">
        <f>IFERROR(VLOOKUP($D430,ウルトラ一覧!$A:$L,2,FALSE),"")</f>
        <v/>
      </c>
      <c r="L430">
        <f>IFERROR(VLOOKUP($D430,ウルトラ一覧!$A:$L,3,FALSE),"")</f>
        <v/>
      </c>
      <c r="M430">
        <f>IFERROR(VLOOKUP($D430,ウルトラ一覧!$A:$L,4,FALSE),"")</f>
        <v/>
      </c>
      <c r="N430">
        <f>IFERROR(VLOOKUP($D430,ウルトラ一覧!$A:$L,8,FALSE),"")</f>
        <v/>
      </c>
      <c r="O430">
        <f>IFERROR(VLOOKUP($D430,ウルトラ一覧!$A:$L,9,FALSE),"")</f>
        <v/>
      </c>
      <c r="P430">
        <f>IFERROR(VLOOKUP($D430,ウルトラ一覧!$A:$L,10,FALSE),"")</f>
        <v/>
      </c>
    </row>
    <row r="431">
      <c r="D431" s="4" t="n"/>
      <c r="K431">
        <f>IFERROR(VLOOKUP($D431,ウルトラ一覧!$A:$L,2,FALSE),"")</f>
        <v/>
      </c>
      <c r="L431">
        <f>IFERROR(VLOOKUP($D431,ウルトラ一覧!$A:$L,3,FALSE),"")</f>
        <v/>
      </c>
      <c r="M431">
        <f>IFERROR(VLOOKUP($D431,ウルトラ一覧!$A:$L,4,FALSE),"")</f>
        <v/>
      </c>
      <c r="N431">
        <f>IFERROR(VLOOKUP($D431,ウルトラ一覧!$A:$L,8,FALSE),"")</f>
        <v/>
      </c>
      <c r="O431">
        <f>IFERROR(VLOOKUP($D431,ウルトラ一覧!$A:$L,9,FALSE),"")</f>
        <v/>
      </c>
      <c r="P431">
        <f>IFERROR(VLOOKUP($D431,ウルトラ一覧!$A:$L,10,FALSE),"")</f>
        <v/>
      </c>
    </row>
    <row r="432">
      <c r="D432" s="4" t="n"/>
      <c r="K432">
        <f>IFERROR(VLOOKUP($D432,ウルトラ一覧!$A:$L,2,FALSE),"")</f>
        <v/>
      </c>
      <c r="L432">
        <f>IFERROR(VLOOKUP($D432,ウルトラ一覧!$A:$L,3,FALSE),"")</f>
        <v/>
      </c>
      <c r="M432">
        <f>IFERROR(VLOOKUP($D432,ウルトラ一覧!$A:$L,4,FALSE),"")</f>
        <v/>
      </c>
      <c r="N432">
        <f>IFERROR(VLOOKUP($D432,ウルトラ一覧!$A:$L,8,FALSE),"")</f>
        <v/>
      </c>
      <c r="O432">
        <f>IFERROR(VLOOKUP($D432,ウルトラ一覧!$A:$L,9,FALSE),"")</f>
        <v/>
      </c>
      <c r="P432">
        <f>IFERROR(VLOOKUP($D432,ウルトラ一覧!$A:$L,10,FALSE),"")</f>
        <v/>
      </c>
    </row>
    <row r="433">
      <c r="D433" s="4" t="n"/>
      <c r="K433">
        <f>IFERROR(VLOOKUP($D433,ウルトラ一覧!$A:$L,2,FALSE),"")</f>
        <v/>
      </c>
      <c r="L433">
        <f>IFERROR(VLOOKUP($D433,ウルトラ一覧!$A:$L,3,FALSE),"")</f>
        <v/>
      </c>
      <c r="M433">
        <f>IFERROR(VLOOKUP($D433,ウルトラ一覧!$A:$L,4,FALSE),"")</f>
        <v/>
      </c>
      <c r="N433">
        <f>IFERROR(VLOOKUP($D433,ウルトラ一覧!$A:$L,8,FALSE),"")</f>
        <v/>
      </c>
      <c r="O433">
        <f>IFERROR(VLOOKUP($D433,ウルトラ一覧!$A:$L,9,FALSE),"")</f>
        <v/>
      </c>
      <c r="P433">
        <f>IFERROR(VLOOKUP($D433,ウルトラ一覧!$A:$L,10,FALSE),"")</f>
        <v/>
      </c>
    </row>
    <row r="434">
      <c r="D434" s="4" t="n"/>
      <c r="K434">
        <f>IFERROR(VLOOKUP($D434,ウルトラ一覧!$A:$L,2,FALSE),"")</f>
        <v/>
      </c>
      <c r="L434">
        <f>IFERROR(VLOOKUP($D434,ウルトラ一覧!$A:$L,3,FALSE),"")</f>
        <v/>
      </c>
      <c r="M434">
        <f>IFERROR(VLOOKUP($D434,ウルトラ一覧!$A:$L,4,FALSE),"")</f>
        <v/>
      </c>
      <c r="N434">
        <f>IFERROR(VLOOKUP($D434,ウルトラ一覧!$A:$L,8,FALSE),"")</f>
        <v/>
      </c>
      <c r="O434">
        <f>IFERROR(VLOOKUP($D434,ウルトラ一覧!$A:$L,9,FALSE),"")</f>
        <v/>
      </c>
      <c r="P434">
        <f>IFERROR(VLOOKUP($D434,ウルトラ一覧!$A:$L,10,FALSE),"")</f>
        <v/>
      </c>
    </row>
    <row r="435">
      <c r="D435" s="4" t="n"/>
      <c r="K435">
        <f>IFERROR(VLOOKUP($D435,ウルトラ一覧!$A:$L,2,FALSE),"")</f>
        <v/>
      </c>
      <c r="L435">
        <f>IFERROR(VLOOKUP($D435,ウルトラ一覧!$A:$L,3,FALSE),"")</f>
        <v/>
      </c>
      <c r="M435">
        <f>IFERROR(VLOOKUP($D435,ウルトラ一覧!$A:$L,4,FALSE),"")</f>
        <v/>
      </c>
      <c r="N435">
        <f>IFERROR(VLOOKUP($D435,ウルトラ一覧!$A:$L,8,FALSE),"")</f>
        <v/>
      </c>
      <c r="O435">
        <f>IFERROR(VLOOKUP($D435,ウルトラ一覧!$A:$L,9,FALSE),"")</f>
        <v/>
      </c>
      <c r="P435">
        <f>IFERROR(VLOOKUP($D435,ウルトラ一覧!$A:$L,10,FALSE),"")</f>
        <v/>
      </c>
    </row>
    <row r="436">
      <c r="D436" s="4" t="n"/>
      <c r="K436">
        <f>IFERROR(VLOOKUP($D436,ウルトラ一覧!$A:$L,2,FALSE),"")</f>
        <v/>
      </c>
      <c r="L436">
        <f>IFERROR(VLOOKUP($D436,ウルトラ一覧!$A:$L,3,FALSE),"")</f>
        <v/>
      </c>
      <c r="M436">
        <f>IFERROR(VLOOKUP($D436,ウルトラ一覧!$A:$L,4,FALSE),"")</f>
        <v/>
      </c>
      <c r="N436">
        <f>IFERROR(VLOOKUP($D436,ウルトラ一覧!$A:$L,8,FALSE),"")</f>
        <v/>
      </c>
      <c r="O436">
        <f>IFERROR(VLOOKUP($D436,ウルトラ一覧!$A:$L,9,FALSE),"")</f>
        <v/>
      </c>
      <c r="P436">
        <f>IFERROR(VLOOKUP($D436,ウルトラ一覧!$A:$L,10,FALSE),"")</f>
        <v/>
      </c>
    </row>
    <row r="437">
      <c r="D437" s="4" t="n"/>
      <c r="K437">
        <f>IFERROR(VLOOKUP($D437,ウルトラ一覧!$A:$L,2,FALSE),"")</f>
        <v/>
      </c>
      <c r="L437">
        <f>IFERROR(VLOOKUP($D437,ウルトラ一覧!$A:$L,3,FALSE),"")</f>
        <v/>
      </c>
      <c r="M437">
        <f>IFERROR(VLOOKUP($D437,ウルトラ一覧!$A:$L,4,FALSE),"")</f>
        <v/>
      </c>
      <c r="N437">
        <f>IFERROR(VLOOKUP($D437,ウルトラ一覧!$A:$L,8,FALSE),"")</f>
        <v/>
      </c>
      <c r="O437">
        <f>IFERROR(VLOOKUP($D437,ウルトラ一覧!$A:$L,9,FALSE),"")</f>
        <v/>
      </c>
      <c r="P437">
        <f>IFERROR(VLOOKUP($D437,ウルトラ一覧!$A:$L,10,FALSE),"")</f>
        <v/>
      </c>
    </row>
    <row r="438">
      <c r="D438" s="4" t="n"/>
      <c r="K438">
        <f>IFERROR(VLOOKUP($D438,ウルトラ一覧!$A:$L,2,FALSE),"")</f>
        <v/>
      </c>
      <c r="L438">
        <f>IFERROR(VLOOKUP($D438,ウルトラ一覧!$A:$L,3,FALSE),"")</f>
        <v/>
      </c>
      <c r="M438">
        <f>IFERROR(VLOOKUP($D438,ウルトラ一覧!$A:$L,4,FALSE),"")</f>
        <v/>
      </c>
      <c r="N438">
        <f>IFERROR(VLOOKUP($D438,ウルトラ一覧!$A:$L,8,FALSE),"")</f>
        <v/>
      </c>
      <c r="O438">
        <f>IFERROR(VLOOKUP($D438,ウルトラ一覧!$A:$L,9,FALSE),"")</f>
        <v/>
      </c>
      <c r="P438">
        <f>IFERROR(VLOOKUP($D438,ウルトラ一覧!$A:$L,10,FALSE),"")</f>
        <v/>
      </c>
    </row>
    <row r="439">
      <c r="D439" s="4" t="n"/>
      <c r="K439">
        <f>IFERROR(VLOOKUP($D439,ウルトラ一覧!$A:$L,2,FALSE),"")</f>
        <v/>
      </c>
      <c r="L439">
        <f>IFERROR(VLOOKUP($D439,ウルトラ一覧!$A:$L,3,FALSE),"")</f>
        <v/>
      </c>
      <c r="M439">
        <f>IFERROR(VLOOKUP($D439,ウルトラ一覧!$A:$L,4,FALSE),"")</f>
        <v/>
      </c>
      <c r="N439">
        <f>IFERROR(VLOOKUP($D439,ウルトラ一覧!$A:$L,8,FALSE),"")</f>
        <v/>
      </c>
      <c r="O439">
        <f>IFERROR(VLOOKUP($D439,ウルトラ一覧!$A:$L,9,FALSE),"")</f>
        <v/>
      </c>
      <c r="P439">
        <f>IFERROR(VLOOKUP($D439,ウルトラ一覧!$A:$L,10,FALSE),"")</f>
        <v/>
      </c>
    </row>
    <row r="440">
      <c r="D440" s="4" t="n"/>
      <c r="K440">
        <f>IFERROR(VLOOKUP($D440,ウルトラ一覧!$A:$L,2,FALSE),"")</f>
        <v/>
      </c>
      <c r="L440">
        <f>IFERROR(VLOOKUP($D440,ウルトラ一覧!$A:$L,3,FALSE),"")</f>
        <v/>
      </c>
      <c r="M440">
        <f>IFERROR(VLOOKUP($D440,ウルトラ一覧!$A:$L,4,FALSE),"")</f>
        <v/>
      </c>
      <c r="N440">
        <f>IFERROR(VLOOKUP($D440,ウルトラ一覧!$A:$L,8,FALSE),"")</f>
        <v/>
      </c>
      <c r="O440">
        <f>IFERROR(VLOOKUP($D440,ウルトラ一覧!$A:$L,9,FALSE),"")</f>
        <v/>
      </c>
      <c r="P440">
        <f>IFERROR(VLOOKUP($D440,ウルトラ一覧!$A:$L,10,FALSE),"")</f>
        <v/>
      </c>
    </row>
    <row r="441">
      <c r="D441" s="4" t="n"/>
      <c r="K441">
        <f>IFERROR(VLOOKUP($D441,ウルトラ一覧!$A:$L,2,FALSE),"")</f>
        <v/>
      </c>
      <c r="L441">
        <f>IFERROR(VLOOKUP($D441,ウルトラ一覧!$A:$L,3,FALSE),"")</f>
        <v/>
      </c>
      <c r="M441">
        <f>IFERROR(VLOOKUP($D441,ウルトラ一覧!$A:$L,4,FALSE),"")</f>
        <v/>
      </c>
      <c r="N441">
        <f>IFERROR(VLOOKUP($D441,ウルトラ一覧!$A:$L,8,FALSE),"")</f>
        <v/>
      </c>
      <c r="O441">
        <f>IFERROR(VLOOKUP($D441,ウルトラ一覧!$A:$L,9,FALSE),"")</f>
        <v/>
      </c>
      <c r="P441">
        <f>IFERROR(VLOOKUP($D441,ウルトラ一覧!$A:$L,10,FALSE),"")</f>
        <v/>
      </c>
    </row>
    <row r="442">
      <c r="D442" s="4" t="n"/>
      <c r="K442">
        <f>IFERROR(VLOOKUP($D442,ウルトラ一覧!$A:$L,2,FALSE),"")</f>
        <v/>
      </c>
      <c r="L442">
        <f>IFERROR(VLOOKUP($D442,ウルトラ一覧!$A:$L,3,FALSE),"")</f>
        <v/>
      </c>
      <c r="M442">
        <f>IFERROR(VLOOKUP($D442,ウルトラ一覧!$A:$L,4,FALSE),"")</f>
        <v/>
      </c>
      <c r="N442">
        <f>IFERROR(VLOOKUP($D442,ウルトラ一覧!$A:$L,8,FALSE),"")</f>
        <v/>
      </c>
      <c r="O442">
        <f>IFERROR(VLOOKUP($D442,ウルトラ一覧!$A:$L,9,FALSE),"")</f>
        <v/>
      </c>
      <c r="P442">
        <f>IFERROR(VLOOKUP($D442,ウルトラ一覧!$A:$L,10,FALSE),"")</f>
        <v/>
      </c>
    </row>
    <row r="443">
      <c r="D443" s="4" t="n"/>
      <c r="K443">
        <f>IFERROR(VLOOKUP($D443,ウルトラ一覧!$A:$L,2,FALSE),"")</f>
        <v/>
      </c>
      <c r="L443">
        <f>IFERROR(VLOOKUP($D443,ウルトラ一覧!$A:$L,3,FALSE),"")</f>
        <v/>
      </c>
      <c r="M443">
        <f>IFERROR(VLOOKUP($D443,ウルトラ一覧!$A:$L,4,FALSE),"")</f>
        <v/>
      </c>
      <c r="N443">
        <f>IFERROR(VLOOKUP($D443,ウルトラ一覧!$A:$L,8,FALSE),"")</f>
        <v/>
      </c>
      <c r="O443">
        <f>IFERROR(VLOOKUP($D443,ウルトラ一覧!$A:$L,9,FALSE),"")</f>
        <v/>
      </c>
      <c r="P443">
        <f>IFERROR(VLOOKUP($D443,ウルトラ一覧!$A:$L,10,FALSE),"")</f>
        <v/>
      </c>
    </row>
    <row r="444">
      <c r="D444" s="4" t="n"/>
      <c r="K444">
        <f>IFERROR(VLOOKUP($D444,ウルトラ一覧!$A:$L,2,FALSE),"")</f>
        <v/>
      </c>
      <c r="L444">
        <f>IFERROR(VLOOKUP($D444,ウルトラ一覧!$A:$L,3,FALSE),"")</f>
        <v/>
      </c>
      <c r="M444">
        <f>IFERROR(VLOOKUP($D444,ウルトラ一覧!$A:$L,4,FALSE),"")</f>
        <v/>
      </c>
      <c r="N444">
        <f>IFERROR(VLOOKUP($D444,ウルトラ一覧!$A:$L,8,FALSE),"")</f>
        <v/>
      </c>
      <c r="O444">
        <f>IFERROR(VLOOKUP($D444,ウルトラ一覧!$A:$L,9,FALSE),"")</f>
        <v/>
      </c>
      <c r="P444">
        <f>IFERROR(VLOOKUP($D444,ウルトラ一覧!$A:$L,10,FALSE),"")</f>
        <v/>
      </c>
    </row>
    <row r="445">
      <c r="D445" s="4" t="n"/>
      <c r="K445">
        <f>IFERROR(VLOOKUP($D445,ウルトラ一覧!$A:$L,2,FALSE),"")</f>
        <v/>
      </c>
      <c r="L445">
        <f>IFERROR(VLOOKUP($D445,ウルトラ一覧!$A:$L,3,FALSE),"")</f>
        <v/>
      </c>
      <c r="M445">
        <f>IFERROR(VLOOKUP($D445,ウルトラ一覧!$A:$L,4,FALSE),"")</f>
        <v/>
      </c>
      <c r="N445">
        <f>IFERROR(VLOOKUP($D445,ウルトラ一覧!$A:$L,8,FALSE),"")</f>
        <v/>
      </c>
      <c r="O445">
        <f>IFERROR(VLOOKUP($D445,ウルトラ一覧!$A:$L,9,FALSE),"")</f>
        <v/>
      </c>
      <c r="P445">
        <f>IFERROR(VLOOKUP($D445,ウルトラ一覧!$A:$L,10,FALSE),"")</f>
        <v/>
      </c>
    </row>
    <row r="446">
      <c r="D446" s="4" t="n"/>
      <c r="K446">
        <f>IFERROR(VLOOKUP($D446,ウルトラ一覧!$A:$L,2,FALSE),"")</f>
        <v/>
      </c>
      <c r="L446">
        <f>IFERROR(VLOOKUP($D446,ウルトラ一覧!$A:$L,3,FALSE),"")</f>
        <v/>
      </c>
      <c r="M446">
        <f>IFERROR(VLOOKUP($D446,ウルトラ一覧!$A:$L,4,FALSE),"")</f>
        <v/>
      </c>
      <c r="N446">
        <f>IFERROR(VLOOKUP($D446,ウルトラ一覧!$A:$L,8,FALSE),"")</f>
        <v/>
      </c>
      <c r="O446">
        <f>IFERROR(VLOOKUP($D446,ウルトラ一覧!$A:$L,9,FALSE),"")</f>
        <v/>
      </c>
      <c r="P446">
        <f>IFERROR(VLOOKUP($D446,ウルトラ一覧!$A:$L,10,FALSE),"")</f>
        <v/>
      </c>
    </row>
    <row r="447">
      <c r="D447" s="4" t="n"/>
      <c r="K447">
        <f>IFERROR(VLOOKUP($D447,ウルトラ一覧!$A:$L,2,FALSE),"")</f>
        <v/>
      </c>
      <c r="L447">
        <f>IFERROR(VLOOKUP($D447,ウルトラ一覧!$A:$L,3,FALSE),"")</f>
        <v/>
      </c>
      <c r="M447">
        <f>IFERROR(VLOOKUP($D447,ウルトラ一覧!$A:$L,4,FALSE),"")</f>
        <v/>
      </c>
      <c r="N447">
        <f>IFERROR(VLOOKUP($D447,ウルトラ一覧!$A:$L,8,FALSE),"")</f>
        <v/>
      </c>
      <c r="O447">
        <f>IFERROR(VLOOKUP($D447,ウルトラ一覧!$A:$L,9,FALSE),"")</f>
        <v/>
      </c>
      <c r="P447">
        <f>IFERROR(VLOOKUP($D447,ウルトラ一覧!$A:$L,10,FALSE),"")</f>
        <v/>
      </c>
    </row>
    <row r="448">
      <c r="D448" s="4" t="n"/>
      <c r="K448">
        <f>IFERROR(VLOOKUP($D448,ウルトラ一覧!$A:$L,2,FALSE),"")</f>
        <v/>
      </c>
      <c r="L448">
        <f>IFERROR(VLOOKUP($D448,ウルトラ一覧!$A:$L,3,FALSE),"")</f>
        <v/>
      </c>
      <c r="M448">
        <f>IFERROR(VLOOKUP($D448,ウルトラ一覧!$A:$L,4,FALSE),"")</f>
        <v/>
      </c>
      <c r="N448">
        <f>IFERROR(VLOOKUP($D448,ウルトラ一覧!$A:$L,8,FALSE),"")</f>
        <v/>
      </c>
      <c r="O448">
        <f>IFERROR(VLOOKUP($D448,ウルトラ一覧!$A:$L,9,FALSE),"")</f>
        <v/>
      </c>
      <c r="P448">
        <f>IFERROR(VLOOKUP($D448,ウルトラ一覧!$A:$L,10,FALSE),"")</f>
        <v/>
      </c>
    </row>
    <row r="449">
      <c r="D449" s="4" t="n"/>
      <c r="K449">
        <f>IFERROR(VLOOKUP($D449,ウルトラ一覧!$A:$L,2,FALSE),"")</f>
        <v/>
      </c>
      <c r="L449">
        <f>IFERROR(VLOOKUP($D449,ウルトラ一覧!$A:$L,3,FALSE),"")</f>
        <v/>
      </c>
      <c r="M449">
        <f>IFERROR(VLOOKUP($D449,ウルトラ一覧!$A:$L,4,FALSE),"")</f>
        <v/>
      </c>
      <c r="N449">
        <f>IFERROR(VLOOKUP($D449,ウルトラ一覧!$A:$L,8,FALSE),"")</f>
        <v/>
      </c>
      <c r="O449">
        <f>IFERROR(VLOOKUP($D449,ウルトラ一覧!$A:$L,9,FALSE),"")</f>
        <v/>
      </c>
      <c r="P449">
        <f>IFERROR(VLOOKUP($D449,ウルトラ一覧!$A:$L,10,FALSE),"")</f>
        <v/>
      </c>
    </row>
    <row r="450">
      <c r="D450" s="4" t="n"/>
      <c r="K450">
        <f>IFERROR(VLOOKUP($D450,ウルトラ一覧!$A:$L,2,FALSE),"")</f>
        <v/>
      </c>
      <c r="L450">
        <f>IFERROR(VLOOKUP($D450,ウルトラ一覧!$A:$L,3,FALSE),"")</f>
        <v/>
      </c>
      <c r="M450">
        <f>IFERROR(VLOOKUP($D450,ウルトラ一覧!$A:$L,4,FALSE),"")</f>
        <v/>
      </c>
      <c r="N450">
        <f>IFERROR(VLOOKUP($D450,ウルトラ一覧!$A:$L,8,FALSE),"")</f>
        <v/>
      </c>
      <c r="O450">
        <f>IFERROR(VLOOKUP($D450,ウルトラ一覧!$A:$L,9,FALSE),"")</f>
        <v/>
      </c>
      <c r="P450">
        <f>IFERROR(VLOOKUP($D450,ウルトラ一覧!$A:$L,10,FALSE),"")</f>
        <v/>
      </c>
    </row>
    <row r="451">
      <c r="D451" s="4" t="n"/>
      <c r="K451">
        <f>IFERROR(VLOOKUP($D451,ウルトラ一覧!$A:$L,2,FALSE),"")</f>
        <v/>
      </c>
      <c r="L451">
        <f>IFERROR(VLOOKUP($D451,ウルトラ一覧!$A:$L,3,FALSE),"")</f>
        <v/>
      </c>
      <c r="M451">
        <f>IFERROR(VLOOKUP($D451,ウルトラ一覧!$A:$L,4,FALSE),"")</f>
        <v/>
      </c>
      <c r="N451">
        <f>IFERROR(VLOOKUP($D451,ウルトラ一覧!$A:$L,8,FALSE),"")</f>
        <v/>
      </c>
      <c r="O451">
        <f>IFERROR(VLOOKUP($D451,ウルトラ一覧!$A:$L,9,FALSE),"")</f>
        <v/>
      </c>
      <c r="P451">
        <f>IFERROR(VLOOKUP($D451,ウルトラ一覧!$A:$L,10,FALSE),"")</f>
        <v/>
      </c>
    </row>
    <row r="452">
      <c r="D452" s="4" t="n"/>
      <c r="K452">
        <f>IFERROR(VLOOKUP($D452,ウルトラ一覧!$A:$L,2,FALSE),"")</f>
        <v/>
      </c>
      <c r="L452">
        <f>IFERROR(VLOOKUP($D452,ウルトラ一覧!$A:$L,3,FALSE),"")</f>
        <v/>
      </c>
      <c r="M452">
        <f>IFERROR(VLOOKUP($D452,ウルトラ一覧!$A:$L,4,FALSE),"")</f>
        <v/>
      </c>
      <c r="N452">
        <f>IFERROR(VLOOKUP($D452,ウルトラ一覧!$A:$L,8,FALSE),"")</f>
        <v/>
      </c>
      <c r="O452">
        <f>IFERROR(VLOOKUP($D452,ウルトラ一覧!$A:$L,9,FALSE),"")</f>
        <v/>
      </c>
      <c r="P452">
        <f>IFERROR(VLOOKUP($D452,ウルトラ一覧!$A:$L,10,FALSE),"")</f>
        <v/>
      </c>
    </row>
    <row r="453">
      <c r="D453" s="4" t="n"/>
      <c r="K453">
        <f>IFERROR(VLOOKUP($D453,ウルトラ一覧!$A:$L,2,FALSE),"")</f>
        <v/>
      </c>
      <c r="L453">
        <f>IFERROR(VLOOKUP($D453,ウルトラ一覧!$A:$L,3,FALSE),"")</f>
        <v/>
      </c>
      <c r="M453">
        <f>IFERROR(VLOOKUP($D453,ウルトラ一覧!$A:$L,4,FALSE),"")</f>
        <v/>
      </c>
      <c r="N453">
        <f>IFERROR(VLOOKUP($D453,ウルトラ一覧!$A:$L,8,FALSE),"")</f>
        <v/>
      </c>
      <c r="O453">
        <f>IFERROR(VLOOKUP($D453,ウルトラ一覧!$A:$L,9,FALSE),"")</f>
        <v/>
      </c>
      <c r="P453">
        <f>IFERROR(VLOOKUP($D453,ウルトラ一覧!$A:$L,10,FALSE),"")</f>
        <v/>
      </c>
    </row>
    <row r="454">
      <c r="D454" s="4" t="n"/>
      <c r="K454">
        <f>IFERROR(VLOOKUP($D454,ウルトラ一覧!$A:$L,2,FALSE),"")</f>
        <v/>
      </c>
      <c r="L454">
        <f>IFERROR(VLOOKUP($D454,ウルトラ一覧!$A:$L,3,FALSE),"")</f>
        <v/>
      </c>
      <c r="M454">
        <f>IFERROR(VLOOKUP($D454,ウルトラ一覧!$A:$L,4,FALSE),"")</f>
        <v/>
      </c>
      <c r="N454">
        <f>IFERROR(VLOOKUP($D454,ウルトラ一覧!$A:$L,8,FALSE),"")</f>
        <v/>
      </c>
      <c r="O454">
        <f>IFERROR(VLOOKUP($D454,ウルトラ一覧!$A:$L,9,FALSE),"")</f>
        <v/>
      </c>
      <c r="P454">
        <f>IFERROR(VLOOKUP($D454,ウルトラ一覧!$A:$L,10,FALSE),"")</f>
        <v/>
      </c>
    </row>
    <row r="455">
      <c r="D455" s="4" t="n"/>
      <c r="K455">
        <f>IFERROR(VLOOKUP($D455,ウルトラ一覧!$A:$L,2,FALSE),"")</f>
        <v/>
      </c>
      <c r="L455">
        <f>IFERROR(VLOOKUP($D455,ウルトラ一覧!$A:$L,3,FALSE),"")</f>
        <v/>
      </c>
      <c r="M455">
        <f>IFERROR(VLOOKUP($D455,ウルトラ一覧!$A:$L,4,FALSE),"")</f>
        <v/>
      </c>
      <c r="N455">
        <f>IFERROR(VLOOKUP($D455,ウルトラ一覧!$A:$L,8,FALSE),"")</f>
        <v/>
      </c>
      <c r="O455">
        <f>IFERROR(VLOOKUP($D455,ウルトラ一覧!$A:$L,9,FALSE),"")</f>
        <v/>
      </c>
      <c r="P455">
        <f>IFERROR(VLOOKUP($D455,ウルトラ一覧!$A:$L,10,FALSE),"")</f>
        <v/>
      </c>
    </row>
    <row r="456">
      <c r="D456" s="4" t="n"/>
      <c r="K456">
        <f>IFERROR(VLOOKUP($D456,ウルトラ一覧!$A:$L,2,FALSE),"")</f>
        <v/>
      </c>
      <c r="L456">
        <f>IFERROR(VLOOKUP($D456,ウルトラ一覧!$A:$L,3,FALSE),"")</f>
        <v/>
      </c>
      <c r="M456">
        <f>IFERROR(VLOOKUP($D456,ウルトラ一覧!$A:$L,4,FALSE),"")</f>
        <v/>
      </c>
      <c r="N456">
        <f>IFERROR(VLOOKUP($D456,ウルトラ一覧!$A:$L,8,FALSE),"")</f>
        <v/>
      </c>
      <c r="O456">
        <f>IFERROR(VLOOKUP($D456,ウルトラ一覧!$A:$L,9,FALSE),"")</f>
        <v/>
      </c>
      <c r="P456">
        <f>IFERROR(VLOOKUP($D456,ウルトラ一覧!$A:$L,10,FALSE),"")</f>
        <v/>
      </c>
    </row>
    <row r="457">
      <c r="D457" s="4" t="n"/>
      <c r="K457">
        <f>IFERROR(VLOOKUP($D457,ウルトラ一覧!$A:$L,2,FALSE),"")</f>
        <v/>
      </c>
      <c r="L457">
        <f>IFERROR(VLOOKUP($D457,ウルトラ一覧!$A:$L,3,FALSE),"")</f>
        <v/>
      </c>
      <c r="M457">
        <f>IFERROR(VLOOKUP($D457,ウルトラ一覧!$A:$L,4,FALSE),"")</f>
        <v/>
      </c>
      <c r="N457">
        <f>IFERROR(VLOOKUP($D457,ウルトラ一覧!$A:$L,8,FALSE),"")</f>
        <v/>
      </c>
      <c r="O457">
        <f>IFERROR(VLOOKUP($D457,ウルトラ一覧!$A:$L,9,FALSE),"")</f>
        <v/>
      </c>
      <c r="P457">
        <f>IFERROR(VLOOKUP($D457,ウルトラ一覧!$A:$L,10,FALSE),"")</f>
        <v/>
      </c>
    </row>
    <row r="458">
      <c r="D458" s="4" t="n"/>
      <c r="K458">
        <f>IFERROR(VLOOKUP($D458,ウルトラ一覧!$A:$L,2,FALSE),"")</f>
        <v/>
      </c>
      <c r="L458">
        <f>IFERROR(VLOOKUP($D458,ウルトラ一覧!$A:$L,3,FALSE),"")</f>
        <v/>
      </c>
      <c r="M458">
        <f>IFERROR(VLOOKUP($D458,ウルトラ一覧!$A:$L,4,FALSE),"")</f>
        <v/>
      </c>
      <c r="N458">
        <f>IFERROR(VLOOKUP($D458,ウルトラ一覧!$A:$L,8,FALSE),"")</f>
        <v/>
      </c>
      <c r="O458">
        <f>IFERROR(VLOOKUP($D458,ウルトラ一覧!$A:$L,9,FALSE),"")</f>
        <v/>
      </c>
      <c r="P458">
        <f>IFERROR(VLOOKUP($D458,ウルトラ一覧!$A:$L,10,FALSE),"")</f>
        <v/>
      </c>
    </row>
    <row r="459">
      <c r="D459" s="4" t="n"/>
      <c r="K459">
        <f>IFERROR(VLOOKUP($D459,ウルトラ一覧!$A:$L,2,FALSE),"")</f>
        <v/>
      </c>
      <c r="L459">
        <f>IFERROR(VLOOKUP($D459,ウルトラ一覧!$A:$L,3,FALSE),"")</f>
        <v/>
      </c>
      <c r="M459">
        <f>IFERROR(VLOOKUP($D459,ウルトラ一覧!$A:$L,4,FALSE),"")</f>
        <v/>
      </c>
      <c r="N459">
        <f>IFERROR(VLOOKUP($D459,ウルトラ一覧!$A:$L,8,FALSE),"")</f>
        <v/>
      </c>
      <c r="O459">
        <f>IFERROR(VLOOKUP($D459,ウルトラ一覧!$A:$L,9,FALSE),"")</f>
        <v/>
      </c>
      <c r="P459">
        <f>IFERROR(VLOOKUP($D459,ウルトラ一覧!$A:$L,10,FALSE),"")</f>
        <v/>
      </c>
    </row>
    <row r="460">
      <c r="D460" s="4" t="n"/>
      <c r="K460">
        <f>IFERROR(VLOOKUP($D460,ウルトラ一覧!$A:$L,2,FALSE),"")</f>
        <v/>
      </c>
      <c r="L460">
        <f>IFERROR(VLOOKUP($D460,ウルトラ一覧!$A:$L,3,FALSE),"")</f>
        <v/>
      </c>
      <c r="M460">
        <f>IFERROR(VLOOKUP($D460,ウルトラ一覧!$A:$L,4,FALSE),"")</f>
        <v/>
      </c>
      <c r="N460">
        <f>IFERROR(VLOOKUP($D460,ウルトラ一覧!$A:$L,8,FALSE),"")</f>
        <v/>
      </c>
      <c r="O460">
        <f>IFERROR(VLOOKUP($D460,ウルトラ一覧!$A:$L,9,FALSE),"")</f>
        <v/>
      </c>
      <c r="P460">
        <f>IFERROR(VLOOKUP($D460,ウルトラ一覧!$A:$L,10,FALSE),"")</f>
        <v/>
      </c>
    </row>
    <row r="461">
      <c r="D461" s="4" t="n"/>
      <c r="K461">
        <f>IFERROR(VLOOKUP($D461,ウルトラ一覧!$A:$L,2,FALSE),"")</f>
        <v/>
      </c>
      <c r="L461">
        <f>IFERROR(VLOOKUP($D461,ウルトラ一覧!$A:$L,3,FALSE),"")</f>
        <v/>
      </c>
      <c r="M461">
        <f>IFERROR(VLOOKUP($D461,ウルトラ一覧!$A:$L,4,FALSE),"")</f>
        <v/>
      </c>
      <c r="N461">
        <f>IFERROR(VLOOKUP($D461,ウルトラ一覧!$A:$L,8,FALSE),"")</f>
        <v/>
      </c>
      <c r="O461">
        <f>IFERROR(VLOOKUP($D461,ウルトラ一覧!$A:$L,9,FALSE),"")</f>
        <v/>
      </c>
      <c r="P461">
        <f>IFERROR(VLOOKUP($D461,ウルトラ一覧!$A:$L,10,FALSE),"")</f>
        <v/>
      </c>
    </row>
    <row r="462">
      <c r="D462" s="4" t="n"/>
      <c r="K462">
        <f>IFERROR(VLOOKUP($D462,ウルトラ一覧!$A:$L,2,FALSE),"")</f>
        <v/>
      </c>
      <c r="L462">
        <f>IFERROR(VLOOKUP($D462,ウルトラ一覧!$A:$L,3,FALSE),"")</f>
        <v/>
      </c>
      <c r="M462">
        <f>IFERROR(VLOOKUP($D462,ウルトラ一覧!$A:$L,4,FALSE),"")</f>
        <v/>
      </c>
      <c r="N462">
        <f>IFERROR(VLOOKUP($D462,ウルトラ一覧!$A:$L,8,FALSE),"")</f>
        <v/>
      </c>
      <c r="O462">
        <f>IFERROR(VLOOKUP($D462,ウルトラ一覧!$A:$L,9,FALSE),"")</f>
        <v/>
      </c>
      <c r="P462">
        <f>IFERROR(VLOOKUP($D462,ウルトラ一覧!$A:$L,10,FALSE),"")</f>
        <v/>
      </c>
    </row>
    <row r="463">
      <c r="D463" s="4" t="n"/>
      <c r="K463">
        <f>IFERROR(VLOOKUP($D463,ウルトラ一覧!$A:$L,2,FALSE),"")</f>
        <v/>
      </c>
      <c r="L463">
        <f>IFERROR(VLOOKUP($D463,ウルトラ一覧!$A:$L,3,FALSE),"")</f>
        <v/>
      </c>
      <c r="M463">
        <f>IFERROR(VLOOKUP($D463,ウルトラ一覧!$A:$L,4,FALSE),"")</f>
        <v/>
      </c>
      <c r="N463">
        <f>IFERROR(VLOOKUP($D463,ウルトラ一覧!$A:$L,8,FALSE),"")</f>
        <v/>
      </c>
      <c r="O463">
        <f>IFERROR(VLOOKUP($D463,ウルトラ一覧!$A:$L,9,FALSE),"")</f>
        <v/>
      </c>
      <c r="P463">
        <f>IFERROR(VLOOKUP($D463,ウルトラ一覧!$A:$L,10,FALSE),"")</f>
        <v/>
      </c>
    </row>
    <row r="464">
      <c r="D464" s="4" t="n"/>
      <c r="K464">
        <f>IFERROR(VLOOKUP($D464,ウルトラ一覧!$A:$L,2,FALSE),"")</f>
        <v/>
      </c>
      <c r="L464">
        <f>IFERROR(VLOOKUP($D464,ウルトラ一覧!$A:$L,3,FALSE),"")</f>
        <v/>
      </c>
      <c r="M464">
        <f>IFERROR(VLOOKUP($D464,ウルトラ一覧!$A:$L,4,FALSE),"")</f>
        <v/>
      </c>
      <c r="N464">
        <f>IFERROR(VLOOKUP($D464,ウルトラ一覧!$A:$L,8,FALSE),"")</f>
        <v/>
      </c>
      <c r="O464">
        <f>IFERROR(VLOOKUP($D464,ウルトラ一覧!$A:$L,9,FALSE),"")</f>
        <v/>
      </c>
      <c r="P464">
        <f>IFERROR(VLOOKUP($D464,ウルトラ一覧!$A:$L,10,FALSE),"")</f>
        <v/>
      </c>
    </row>
    <row r="465">
      <c r="D465" s="4" t="n"/>
      <c r="K465">
        <f>IFERROR(VLOOKUP($D465,ウルトラ一覧!$A:$L,2,FALSE),"")</f>
        <v/>
      </c>
      <c r="L465">
        <f>IFERROR(VLOOKUP($D465,ウルトラ一覧!$A:$L,3,FALSE),"")</f>
        <v/>
      </c>
      <c r="M465">
        <f>IFERROR(VLOOKUP($D465,ウルトラ一覧!$A:$L,4,FALSE),"")</f>
        <v/>
      </c>
      <c r="N465">
        <f>IFERROR(VLOOKUP($D465,ウルトラ一覧!$A:$L,8,FALSE),"")</f>
        <v/>
      </c>
      <c r="O465">
        <f>IFERROR(VLOOKUP($D465,ウルトラ一覧!$A:$L,9,FALSE),"")</f>
        <v/>
      </c>
      <c r="P465">
        <f>IFERROR(VLOOKUP($D465,ウルトラ一覧!$A:$L,10,FALSE),"")</f>
        <v/>
      </c>
    </row>
    <row r="466">
      <c r="D466" s="4" t="n"/>
      <c r="K466">
        <f>IFERROR(VLOOKUP($D466,ウルトラ一覧!$A:$L,2,FALSE),"")</f>
        <v/>
      </c>
      <c r="L466">
        <f>IFERROR(VLOOKUP($D466,ウルトラ一覧!$A:$L,3,FALSE),"")</f>
        <v/>
      </c>
      <c r="M466">
        <f>IFERROR(VLOOKUP($D466,ウルトラ一覧!$A:$L,4,FALSE),"")</f>
        <v/>
      </c>
      <c r="N466">
        <f>IFERROR(VLOOKUP($D466,ウルトラ一覧!$A:$L,8,FALSE),"")</f>
        <v/>
      </c>
      <c r="O466">
        <f>IFERROR(VLOOKUP($D466,ウルトラ一覧!$A:$L,9,FALSE),"")</f>
        <v/>
      </c>
      <c r="P466">
        <f>IFERROR(VLOOKUP($D466,ウルトラ一覧!$A:$L,10,FALSE),"")</f>
        <v/>
      </c>
    </row>
    <row r="467">
      <c r="D467" s="4" t="n"/>
      <c r="K467">
        <f>IFERROR(VLOOKUP($D467,ウルトラ一覧!$A:$L,2,FALSE),"")</f>
        <v/>
      </c>
      <c r="L467">
        <f>IFERROR(VLOOKUP($D467,ウルトラ一覧!$A:$L,3,FALSE),"")</f>
        <v/>
      </c>
      <c r="M467">
        <f>IFERROR(VLOOKUP($D467,ウルトラ一覧!$A:$L,4,FALSE),"")</f>
        <v/>
      </c>
      <c r="N467">
        <f>IFERROR(VLOOKUP($D467,ウルトラ一覧!$A:$L,8,FALSE),"")</f>
        <v/>
      </c>
      <c r="O467">
        <f>IFERROR(VLOOKUP($D467,ウルトラ一覧!$A:$L,9,FALSE),"")</f>
        <v/>
      </c>
      <c r="P467">
        <f>IFERROR(VLOOKUP($D467,ウルトラ一覧!$A:$L,10,FALSE),"")</f>
        <v/>
      </c>
    </row>
    <row r="468">
      <c r="D468" s="4" t="n"/>
      <c r="K468">
        <f>IFERROR(VLOOKUP($D468,ウルトラ一覧!$A:$L,2,FALSE),"")</f>
        <v/>
      </c>
      <c r="L468">
        <f>IFERROR(VLOOKUP($D468,ウルトラ一覧!$A:$L,3,FALSE),"")</f>
        <v/>
      </c>
      <c r="M468">
        <f>IFERROR(VLOOKUP($D468,ウルトラ一覧!$A:$L,4,FALSE),"")</f>
        <v/>
      </c>
      <c r="N468">
        <f>IFERROR(VLOOKUP($D468,ウルトラ一覧!$A:$L,8,FALSE),"")</f>
        <v/>
      </c>
      <c r="O468">
        <f>IFERROR(VLOOKUP($D468,ウルトラ一覧!$A:$L,9,FALSE),"")</f>
        <v/>
      </c>
      <c r="P468">
        <f>IFERROR(VLOOKUP($D468,ウルトラ一覧!$A:$L,10,FALSE),"")</f>
        <v/>
      </c>
    </row>
    <row r="469">
      <c r="D469" s="4" t="n"/>
      <c r="K469">
        <f>IFERROR(VLOOKUP($D469,ウルトラ一覧!$A:$L,2,FALSE),"")</f>
        <v/>
      </c>
      <c r="L469">
        <f>IFERROR(VLOOKUP($D469,ウルトラ一覧!$A:$L,3,FALSE),"")</f>
        <v/>
      </c>
      <c r="M469">
        <f>IFERROR(VLOOKUP($D469,ウルトラ一覧!$A:$L,4,FALSE),"")</f>
        <v/>
      </c>
      <c r="N469">
        <f>IFERROR(VLOOKUP($D469,ウルトラ一覧!$A:$L,8,FALSE),"")</f>
        <v/>
      </c>
      <c r="O469">
        <f>IFERROR(VLOOKUP($D469,ウルトラ一覧!$A:$L,9,FALSE),"")</f>
        <v/>
      </c>
      <c r="P469">
        <f>IFERROR(VLOOKUP($D469,ウルトラ一覧!$A:$L,10,FALSE),"")</f>
        <v/>
      </c>
    </row>
    <row r="470">
      <c r="D470" s="4" t="n"/>
      <c r="K470">
        <f>IFERROR(VLOOKUP($D470,ウルトラ一覧!$A:$L,2,FALSE),"")</f>
        <v/>
      </c>
      <c r="L470">
        <f>IFERROR(VLOOKUP($D470,ウルトラ一覧!$A:$L,3,FALSE),"")</f>
        <v/>
      </c>
      <c r="M470">
        <f>IFERROR(VLOOKUP($D470,ウルトラ一覧!$A:$L,4,FALSE),"")</f>
        <v/>
      </c>
      <c r="N470">
        <f>IFERROR(VLOOKUP($D470,ウルトラ一覧!$A:$L,8,FALSE),"")</f>
        <v/>
      </c>
      <c r="O470">
        <f>IFERROR(VLOOKUP($D470,ウルトラ一覧!$A:$L,9,FALSE),"")</f>
        <v/>
      </c>
      <c r="P470">
        <f>IFERROR(VLOOKUP($D470,ウルトラ一覧!$A:$L,10,FALSE),"")</f>
        <v/>
      </c>
    </row>
    <row r="471">
      <c r="D471" s="4" t="n"/>
      <c r="K471">
        <f>IFERROR(VLOOKUP($D471,ウルトラ一覧!$A:$L,2,FALSE),"")</f>
        <v/>
      </c>
      <c r="L471">
        <f>IFERROR(VLOOKUP($D471,ウルトラ一覧!$A:$L,3,FALSE),"")</f>
        <v/>
      </c>
      <c r="M471">
        <f>IFERROR(VLOOKUP($D471,ウルトラ一覧!$A:$L,4,FALSE),"")</f>
        <v/>
      </c>
      <c r="N471">
        <f>IFERROR(VLOOKUP($D471,ウルトラ一覧!$A:$L,8,FALSE),"")</f>
        <v/>
      </c>
      <c r="O471">
        <f>IFERROR(VLOOKUP($D471,ウルトラ一覧!$A:$L,9,FALSE),"")</f>
        <v/>
      </c>
      <c r="P471">
        <f>IFERROR(VLOOKUP($D471,ウルトラ一覧!$A:$L,10,FALSE),"")</f>
        <v/>
      </c>
    </row>
    <row r="472">
      <c r="D472" s="4" t="n"/>
      <c r="K472">
        <f>IFERROR(VLOOKUP($D472,ウルトラ一覧!$A:$L,2,FALSE),"")</f>
        <v/>
      </c>
      <c r="L472">
        <f>IFERROR(VLOOKUP($D472,ウルトラ一覧!$A:$L,3,FALSE),"")</f>
        <v/>
      </c>
      <c r="M472">
        <f>IFERROR(VLOOKUP($D472,ウルトラ一覧!$A:$L,4,FALSE),"")</f>
        <v/>
      </c>
      <c r="N472">
        <f>IFERROR(VLOOKUP($D472,ウルトラ一覧!$A:$L,8,FALSE),"")</f>
        <v/>
      </c>
      <c r="O472">
        <f>IFERROR(VLOOKUP($D472,ウルトラ一覧!$A:$L,9,FALSE),"")</f>
        <v/>
      </c>
      <c r="P472">
        <f>IFERROR(VLOOKUP($D472,ウルトラ一覧!$A:$L,10,FALSE),"")</f>
        <v/>
      </c>
    </row>
    <row r="473">
      <c r="D473" s="4" t="n"/>
      <c r="K473">
        <f>IFERROR(VLOOKUP($D473,ウルトラ一覧!$A:$L,2,FALSE),"")</f>
        <v/>
      </c>
      <c r="L473">
        <f>IFERROR(VLOOKUP($D473,ウルトラ一覧!$A:$L,3,FALSE),"")</f>
        <v/>
      </c>
      <c r="M473">
        <f>IFERROR(VLOOKUP($D473,ウルトラ一覧!$A:$L,4,FALSE),"")</f>
        <v/>
      </c>
      <c r="N473">
        <f>IFERROR(VLOOKUP($D473,ウルトラ一覧!$A:$L,8,FALSE),"")</f>
        <v/>
      </c>
      <c r="O473">
        <f>IFERROR(VLOOKUP($D473,ウルトラ一覧!$A:$L,9,FALSE),"")</f>
        <v/>
      </c>
      <c r="P473">
        <f>IFERROR(VLOOKUP($D473,ウルトラ一覧!$A:$L,10,FALSE),"")</f>
        <v/>
      </c>
    </row>
    <row r="474">
      <c r="D474" s="4" t="n"/>
      <c r="K474">
        <f>IFERROR(VLOOKUP($D474,ウルトラ一覧!$A:$L,2,FALSE),"")</f>
        <v/>
      </c>
      <c r="L474">
        <f>IFERROR(VLOOKUP($D474,ウルトラ一覧!$A:$L,3,FALSE),"")</f>
        <v/>
      </c>
      <c r="M474">
        <f>IFERROR(VLOOKUP($D474,ウルトラ一覧!$A:$L,4,FALSE),"")</f>
        <v/>
      </c>
      <c r="N474">
        <f>IFERROR(VLOOKUP($D474,ウルトラ一覧!$A:$L,8,FALSE),"")</f>
        <v/>
      </c>
      <c r="O474">
        <f>IFERROR(VLOOKUP($D474,ウルトラ一覧!$A:$L,9,FALSE),"")</f>
        <v/>
      </c>
      <c r="P474">
        <f>IFERROR(VLOOKUP($D474,ウルトラ一覧!$A:$L,10,FALSE),"")</f>
        <v/>
      </c>
    </row>
    <row r="475">
      <c r="D475" s="4" t="n"/>
      <c r="K475">
        <f>IFERROR(VLOOKUP($D475,ウルトラ一覧!$A:$L,2,FALSE),"")</f>
        <v/>
      </c>
      <c r="L475">
        <f>IFERROR(VLOOKUP($D475,ウルトラ一覧!$A:$L,3,FALSE),"")</f>
        <v/>
      </c>
      <c r="M475">
        <f>IFERROR(VLOOKUP($D475,ウルトラ一覧!$A:$L,4,FALSE),"")</f>
        <v/>
      </c>
      <c r="N475">
        <f>IFERROR(VLOOKUP($D475,ウルトラ一覧!$A:$L,8,FALSE),"")</f>
        <v/>
      </c>
      <c r="O475">
        <f>IFERROR(VLOOKUP($D475,ウルトラ一覧!$A:$L,9,FALSE),"")</f>
        <v/>
      </c>
      <c r="P475">
        <f>IFERROR(VLOOKUP($D475,ウルトラ一覧!$A:$L,10,FALSE),"")</f>
        <v/>
      </c>
    </row>
    <row r="476">
      <c r="D476" s="4" t="n"/>
      <c r="K476">
        <f>IFERROR(VLOOKUP($D476,ウルトラ一覧!$A:$L,2,FALSE),"")</f>
        <v/>
      </c>
      <c r="L476">
        <f>IFERROR(VLOOKUP($D476,ウルトラ一覧!$A:$L,3,FALSE),"")</f>
        <v/>
      </c>
      <c r="M476">
        <f>IFERROR(VLOOKUP($D476,ウルトラ一覧!$A:$L,4,FALSE),"")</f>
        <v/>
      </c>
      <c r="N476">
        <f>IFERROR(VLOOKUP($D476,ウルトラ一覧!$A:$L,8,FALSE),"")</f>
        <v/>
      </c>
      <c r="O476">
        <f>IFERROR(VLOOKUP($D476,ウルトラ一覧!$A:$L,9,FALSE),"")</f>
        <v/>
      </c>
      <c r="P476">
        <f>IFERROR(VLOOKUP($D476,ウルトラ一覧!$A:$L,10,FALSE),"")</f>
        <v/>
      </c>
    </row>
    <row r="477">
      <c r="D477" s="4" t="n"/>
      <c r="K477">
        <f>IFERROR(VLOOKUP($D477,ウルトラ一覧!$A:$L,2,FALSE),"")</f>
        <v/>
      </c>
      <c r="L477">
        <f>IFERROR(VLOOKUP($D477,ウルトラ一覧!$A:$L,3,FALSE),"")</f>
        <v/>
      </c>
      <c r="M477">
        <f>IFERROR(VLOOKUP($D477,ウルトラ一覧!$A:$L,4,FALSE),"")</f>
        <v/>
      </c>
      <c r="N477">
        <f>IFERROR(VLOOKUP($D477,ウルトラ一覧!$A:$L,8,FALSE),"")</f>
        <v/>
      </c>
      <c r="O477">
        <f>IFERROR(VLOOKUP($D477,ウルトラ一覧!$A:$L,9,FALSE),"")</f>
        <v/>
      </c>
      <c r="P477">
        <f>IFERROR(VLOOKUP($D477,ウルトラ一覧!$A:$L,10,FALSE),"")</f>
        <v/>
      </c>
    </row>
    <row r="478">
      <c r="D478" s="4" t="n"/>
      <c r="K478">
        <f>IFERROR(VLOOKUP($D478,ウルトラ一覧!$A:$L,2,FALSE),"")</f>
        <v/>
      </c>
      <c r="L478">
        <f>IFERROR(VLOOKUP($D478,ウルトラ一覧!$A:$L,3,FALSE),"")</f>
        <v/>
      </c>
      <c r="M478">
        <f>IFERROR(VLOOKUP($D478,ウルトラ一覧!$A:$L,4,FALSE),"")</f>
        <v/>
      </c>
      <c r="N478">
        <f>IFERROR(VLOOKUP($D478,ウルトラ一覧!$A:$L,8,FALSE),"")</f>
        <v/>
      </c>
      <c r="O478">
        <f>IFERROR(VLOOKUP($D478,ウルトラ一覧!$A:$L,9,FALSE),"")</f>
        <v/>
      </c>
      <c r="P478">
        <f>IFERROR(VLOOKUP($D478,ウルトラ一覧!$A:$L,10,FALSE),"")</f>
        <v/>
      </c>
    </row>
    <row r="479">
      <c r="D479" s="4" t="n"/>
      <c r="K479">
        <f>IFERROR(VLOOKUP($D479,ウルトラ一覧!$A:$L,2,FALSE),"")</f>
        <v/>
      </c>
      <c r="L479">
        <f>IFERROR(VLOOKUP($D479,ウルトラ一覧!$A:$L,3,FALSE),"")</f>
        <v/>
      </c>
      <c r="M479">
        <f>IFERROR(VLOOKUP($D479,ウルトラ一覧!$A:$L,4,FALSE),"")</f>
        <v/>
      </c>
      <c r="N479">
        <f>IFERROR(VLOOKUP($D479,ウルトラ一覧!$A:$L,8,FALSE),"")</f>
        <v/>
      </c>
      <c r="O479">
        <f>IFERROR(VLOOKUP($D479,ウルトラ一覧!$A:$L,9,FALSE),"")</f>
        <v/>
      </c>
      <c r="P479">
        <f>IFERROR(VLOOKUP($D479,ウルトラ一覧!$A:$L,10,FALSE),"")</f>
        <v/>
      </c>
    </row>
    <row r="480">
      <c r="D480" s="4" t="n"/>
      <c r="K480">
        <f>IFERROR(VLOOKUP($D480,ウルトラ一覧!$A:$L,2,FALSE),"")</f>
        <v/>
      </c>
      <c r="L480">
        <f>IFERROR(VLOOKUP($D480,ウルトラ一覧!$A:$L,3,FALSE),"")</f>
        <v/>
      </c>
      <c r="M480">
        <f>IFERROR(VLOOKUP($D480,ウルトラ一覧!$A:$L,4,FALSE),"")</f>
        <v/>
      </c>
      <c r="N480">
        <f>IFERROR(VLOOKUP($D480,ウルトラ一覧!$A:$L,8,FALSE),"")</f>
        <v/>
      </c>
      <c r="O480">
        <f>IFERROR(VLOOKUP($D480,ウルトラ一覧!$A:$L,9,FALSE),"")</f>
        <v/>
      </c>
      <c r="P480">
        <f>IFERROR(VLOOKUP($D480,ウルトラ一覧!$A:$L,10,FALSE),"")</f>
        <v/>
      </c>
    </row>
    <row r="481">
      <c r="D481" s="4" t="n"/>
      <c r="K481">
        <f>IFERROR(VLOOKUP($D481,ウルトラ一覧!$A:$L,2,FALSE),"")</f>
        <v/>
      </c>
      <c r="L481">
        <f>IFERROR(VLOOKUP($D481,ウルトラ一覧!$A:$L,3,FALSE),"")</f>
        <v/>
      </c>
      <c r="M481">
        <f>IFERROR(VLOOKUP($D481,ウルトラ一覧!$A:$L,4,FALSE),"")</f>
        <v/>
      </c>
      <c r="N481">
        <f>IFERROR(VLOOKUP($D481,ウルトラ一覧!$A:$L,8,FALSE),"")</f>
        <v/>
      </c>
      <c r="O481">
        <f>IFERROR(VLOOKUP($D481,ウルトラ一覧!$A:$L,9,FALSE),"")</f>
        <v/>
      </c>
      <c r="P481">
        <f>IFERROR(VLOOKUP($D481,ウルトラ一覧!$A:$L,10,FALSE),"")</f>
        <v/>
      </c>
    </row>
    <row r="482">
      <c r="D482" s="4" t="n"/>
      <c r="K482">
        <f>IFERROR(VLOOKUP($D482,ウルトラ一覧!$A:$L,2,FALSE),"")</f>
        <v/>
      </c>
      <c r="L482">
        <f>IFERROR(VLOOKUP($D482,ウルトラ一覧!$A:$L,3,FALSE),"")</f>
        <v/>
      </c>
      <c r="M482">
        <f>IFERROR(VLOOKUP($D482,ウルトラ一覧!$A:$L,4,FALSE),"")</f>
        <v/>
      </c>
      <c r="N482">
        <f>IFERROR(VLOOKUP($D482,ウルトラ一覧!$A:$L,8,FALSE),"")</f>
        <v/>
      </c>
      <c r="O482">
        <f>IFERROR(VLOOKUP($D482,ウルトラ一覧!$A:$L,9,FALSE),"")</f>
        <v/>
      </c>
      <c r="P482">
        <f>IFERROR(VLOOKUP($D482,ウルトラ一覧!$A:$L,10,FALSE),"")</f>
        <v/>
      </c>
    </row>
    <row r="483">
      <c r="D483" s="4" t="n"/>
      <c r="K483">
        <f>IFERROR(VLOOKUP($D483,ウルトラ一覧!$A:$L,2,FALSE),"")</f>
        <v/>
      </c>
      <c r="L483">
        <f>IFERROR(VLOOKUP($D483,ウルトラ一覧!$A:$L,3,FALSE),"")</f>
        <v/>
      </c>
      <c r="M483">
        <f>IFERROR(VLOOKUP($D483,ウルトラ一覧!$A:$L,4,FALSE),"")</f>
        <v/>
      </c>
      <c r="N483">
        <f>IFERROR(VLOOKUP($D483,ウルトラ一覧!$A:$L,8,FALSE),"")</f>
        <v/>
      </c>
      <c r="O483">
        <f>IFERROR(VLOOKUP($D483,ウルトラ一覧!$A:$L,9,FALSE),"")</f>
        <v/>
      </c>
      <c r="P483">
        <f>IFERROR(VLOOKUP($D483,ウルトラ一覧!$A:$L,10,FALSE),"")</f>
        <v/>
      </c>
    </row>
    <row r="484">
      <c r="D484" s="4" t="n"/>
      <c r="K484">
        <f>IFERROR(VLOOKUP($D484,ウルトラ一覧!$A:$L,2,FALSE),"")</f>
        <v/>
      </c>
      <c r="L484">
        <f>IFERROR(VLOOKUP($D484,ウルトラ一覧!$A:$L,3,FALSE),"")</f>
        <v/>
      </c>
      <c r="M484">
        <f>IFERROR(VLOOKUP($D484,ウルトラ一覧!$A:$L,4,FALSE),"")</f>
        <v/>
      </c>
      <c r="N484">
        <f>IFERROR(VLOOKUP($D484,ウルトラ一覧!$A:$L,8,FALSE),"")</f>
        <v/>
      </c>
      <c r="O484">
        <f>IFERROR(VLOOKUP($D484,ウルトラ一覧!$A:$L,9,FALSE),"")</f>
        <v/>
      </c>
      <c r="P484">
        <f>IFERROR(VLOOKUP($D484,ウルトラ一覧!$A:$L,10,FALSE),"")</f>
        <v/>
      </c>
    </row>
    <row r="485">
      <c r="D485" s="4" t="n"/>
      <c r="K485">
        <f>IFERROR(VLOOKUP($D485,ウルトラ一覧!$A:$L,2,FALSE),"")</f>
        <v/>
      </c>
      <c r="L485">
        <f>IFERROR(VLOOKUP($D485,ウルトラ一覧!$A:$L,3,FALSE),"")</f>
        <v/>
      </c>
      <c r="M485">
        <f>IFERROR(VLOOKUP($D485,ウルトラ一覧!$A:$L,4,FALSE),"")</f>
        <v/>
      </c>
      <c r="N485">
        <f>IFERROR(VLOOKUP($D485,ウルトラ一覧!$A:$L,8,FALSE),"")</f>
        <v/>
      </c>
      <c r="O485">
        <f>IFERROR(VLOOKUP($D485,ウルトラ一覧!$A:$L,9,FALSE),"")</f>
        <v/>
      </c>
      <c r="P485">
        <f>IFERROR(VLOOKUP($D485,ウルトラ一覧!$A:$L,10,FALSE),"")</f>
        <v/>
      </c>
    </row>
    <row r="486">
      <c r="D486" s="4" t="n"/>
      <c r="K486">
        <f>IFERROR(VLOOKUP($D486,ウルトラ一覧!$A:$L,2,FALSE),"")</f>
        <v/>
      </c>
      <c r="L486">
        <f>IFERROR(VLOOKUP($D486,ウルトラ一覧!$A:$L,3,FALSE),"")</f>
        <v/>
      </c>
      <c r="M486">
        <f>IFERROR(VLOOKUP($D486,ウルトラ一覧!$A:$L,4,FALSE),"")</f>
        <v/>
      </c>
      <c r="N486">
        <f>IFERROR(VLOOKUP($D486,ウルトラ一覧!$A:$L,8,FALSE),"")</f>
        <v/>
      </c>
      <c r="O486">
        <f>IFERROR(VLOOKUP($D486,ウルトラ一覧!$A:$L,9,FALSE),"")</f>
        <v/>
      </c>
      <c r="P486">
        <f>IFERROR(VLOOKUP($D486,ウルトラ一覧!$A:$L,10,FALSE),"")</f>
        <v/>
      </c>
    </row>
    <row r="487">
      <c r="D487" s="4" t="n"/>
      <c r="K487">
        <f>IFERROR(VLOOKUP($D487,ウルトラ一覧!$A:$L,2,FALSE),"")</f>
        <v/>
      </c>
      <c r="L487">
        <f>IFERROR(VLOOKUP($D487,ウルトラ一覧!$A:$L,3,FALSE),"")</f>
        <v/>
      </c>
      <c r="M487">
        <f>IFERROR(VLOOKUP($D487,ウルトラ一覧!$A:$L,4,FALSE),"")</f>
        <v/>
      </c>
      <c r="N487">
        <f>IFERROR(VLOOKUP($D487,ウルトラ一覧!$A:$L,8,FALSE),"")</f>
        <v/>
      </c>
      <c r="O487">
        <f>IFERROR(VLOOKUP($D487,ウルトラ一覧!$A:$L,9,FALSE),"")</f>
        <v/>
      </c>
      <c r="P487">
        <f>IFERROR(VLOOKUP($D487,ウルトラ一覧!$A:$L,10,FALSE),"")</f>
        <v/>
      </c>
    </row>
    <row r="488">
      <c r="D488" s="4" t="n"/>
      <c r="K488">
        <f>IFERROR(VLOOKUP($D488,ウルトラ一覧!$A:$L,2,FALSE),"")</f>
        <v/>
      </c>
      <c r="L488">
        <f>IFERROR(VLOOKUP($D488,ウルトラ一覧!$A:$L,3,FALSE),"")</f>
        <v/>
      </c>
      <c r="M488">
        <f>IFERROR(VLOOKUP($D488,ウルトラ一覧!$A:$L,4,FALSE),"")</f>
        <v/>
      </c>
      <c r="N488">
        <f>IFERROR(VLOOKUP($D488,ウルトラ一覧!$A:$L,8,FALSE),"")</f>
        <v/>
      </c>
      <c r="O488">
        <f>IFERROR(VLOOKUP($D488,ウルトラ一覧!$A:$L,9,FALSE),"")</f>
        <v/>
      </c>
      <c r="P488">
        <f>IFERROR(VLOOKUP($D488,ウルトラ一覧!$A:$L,10,FALSE),"")</f>
        <v/>
      </c>
    </row>
    <row r="489">
      <c r="D489" s="4" t="n"/>
      <c r="K489">
        <f>IFERROR(VLOOKUP($D489,ウルトラ一覧!$A:$L,2,FALSE),"")</f>
        <v/>
      </c>
      <c r="L489">
        <f>IFERROR(VLOOKUP($D489,ウルトラ一覧!$A:$L,3,FALSE),"")</f>
        <v/>
      </c>
      <c r="M489">
        <f>IFERROR(VLOOKUP($D489,ウルトラ一覧!$A:$L,4,FALSE),"")</f>
        <v/>
      </c>
      <c r="N489">
        <f>IFERROR(VLOOKUP($D489,ウルトラ一覧!$A:$L,8,FALSE),"")</f>
        <v/>
      </c>
      <c r="O489">
        <f>IFERROR(VLOOKUP($D489,ウルトラ一覧!$A:$L,9,FALSE),"")</f>
        <v/>
      </c>
      <c r="P489">
        <f>IFERROR(VLOOKUP($D489,ウルトラ一覧!$A:$L,10,FALSE),"")</f>
        <v/>
      </c>
    </row>
    <row r="490">
      <c r="D490" s="4" t="n"/>
      <c r="K490">
        <f>IFERROR(VLOOKUP($D490,ウルトラ一覧!$A:$L,2,FALSE),"")</f>
        <v/>
      </c>
      <c r="L490">
        <f>IFERROR(VLOOKUP($D490,ウルトラ一覧!$A:$L,3,FALSE),"")</f>
        <v/>
      </c>
      <c r="M490">
        <f>IFERROR(VLOOKUP($D490,ウルトラ一覧!$A:$L,4,FALSE),"")</f>
        <v/>
      </c>
      <c r="N490">
        <f>IFERROR(VLOOKUP($D490,ウルトラ一覧!$A:$L,8,FALSE),"")</f>
        <v/>
      </c>
      <c r="O490">
        <f>IFERROR(VLOOKUP($D490,ウルトラ一覧!$A:$L,9,FALSE),"")</f>
        <v/>
      </c>
      <c r="P490">
        <f>IFERROR(VLOOKUP($D490,ウルトラ一覧!$A:$L,10,FALSE),"")</f>
        <v/>
      </c>
    </row>
    <row r="491">
      <c r="D491" s="4" t="n"/>
      <c r="K491">
        <f>IFERROR(VLOOKUP($D491,ウルトラ一覧!$A:$L,2,FALSE),"")</f>
        <v/>
      </c>
      <c r="L491">
        <f>IFERROR(VLOOKUP($D491,ウルトラ一覧!$A:$L,3,FALSE),"")</f>
        <v/>
      </c>
      <c r="M491">
        <f>IFERROR(VLOOKUP($D491,ウルトラ一覧!$A:$L,4,FALSE),"")</f>
        <v/>
      </c>
      <c r="N491">
        <f>IFERROR(VLOOKUP($D491,ウルトラ一覧!$A:$L,8,FALSE),"")</f>
        <v/>
      </c>
      <c r="O491">
        <f>IFERROR(VLOOKUP($D491,ウルトラ一覧!$A:$L,9,FALSE),"")</f>
        <v/>
      </c>
      <c r="P491">
        <f>IFERROR(VLOOKUP($D491,ウルトラ一覧!$A:$L,10,FALSE),"")</f>
        <v/>
      </c>
    </row>
    <row r="492">
      <c r="D492" s="4" t="n"/>
      <c r="K492">
        <f>IFERROR(VLOOKUP($D492,ウルトラ一覧!$A:$L,2,FALSE),"")</f>
        <v/>
      </c>
      <c r="L492">
        <f>IFERROR(VLOOKUP($D492,ウルトラ一覧!$A:$L,3,FALSE),"")</f>
        <v/>
      </c>
      <c r="M492">
        <f>IFERROR(VLOOKUP($D492,ウルトラ一覧!$A:$L,4,FALSE),"")</f>
        <v/>
      </c>
      <c r="N492">
        <f>IFERROR(VLOOKUP($D492,ウルトラ一覧!$A:$L,8,FALSE),"")</f>
        <v/>
      </c>
      <c r="O492">
        <f>IFERROR(VLOOKUP($D492,ウルトラ一覧!$A:$L,9,FALSE),"")</f>
        <v/>
      </c>
      <c r="P492">
        <f>IFERROR(VLOOKUP($D492,ウルトラ一覧!$A:$L,10,FALSE),"")</f>
        <v/>
      </c>
    </row>
    <row r="493">
      <c r="D493" s="4" t="n"/>
      <c r="K493">
        <f>IFERROR(VLOOKUP($D493,ウルトラ一覧!$A:$L,2,FALSE),"")</f>
        <v/>
      </c>
      <c r="L493">
        <f>IFERROR(VLOOKUP($D493,ウルトラ一覧!$A:$L,3,FALSE),"")</f>
        <v/>
      </c>
      <c r="M493">
        <f>IFERROR(VLOOKUP($D493,ウルトラ一覧!$A:$L,4,FALSE),"")</f>
        <v/>
      </c>
      <c r="N493">
        <f>IFERROR(VLOOKUP($D493,ウルトラ一覧!$A:$L,8,FALSE),"")</f>
        <v/>
      </c>
      <c r="O493">
        <f>IFERROR(VLOOKUP($D493,ウルトラ一覧!$A:$L,9,FALSE),"")</f>
        <v/>
      </c>
      <c r="P493">
        <f>IFERROR(VLOOKUP($D493,ウルトラ一覧!$A:$L,10,FALSE),"")</f>
        <v/>
      </c>
    </row>
    <row r="494">
      <c r="D494" s="4" t="n"/>
      <c r="K494">
        <f>IFERROR(VLOOKUP($D494,ウルトラ一覧!$A:$L,2,FALSE),"")</f>
        <v/>
      </c>
      <c r="L494">
        <f>IFERROR(VLOOKUP($D494,ウルトラ一覧!$A:$L,3,FALSE),"")</f>
        <v/>
      </c>
      <c r="M494">
        <f>IFERROR(VLOOKUP($D494,ウルトラ一覧!$A:$L,4,FALSE),"")</f>
        <v/>
      </c>
      <c r="N494">
        <f>IFERROR(VLOOKUP($D494,ウルトラ一覧!$A:$L,8,FALSE),"")</f>
        <v/>
      </c>
      <c r="O494">
        <f>IFERROR(VLOOKUP($D494,ウルトラ一覧!$A:$L,9,FALSE),"")</f>
        <v/>
      </c>
      <c r="P494">
        <f>IFERROR(VLOOKUP($D494,ウルトラ一覧!$A:$L,10,FALSE),"")</f>
        <v/>
      </c>
    </row>
    <row r="495">
      <c r="D495" s="4" t="n"/>
      <c r="K495">
        <f>IFERROR(VLOOKUP($D495,ウルトラ一覧!$A:$L,2,FALSE),"")</f>
        <v/>
      </c>
      <c r="L495">
        <f>IFERROR(VLOOKUP($D495,ウルトラ一覧!$A:$L,3,FALSE),"")</f>
        <v/>
      </c>
      <c r="M495">
        <f>IFERROR(VLOOKUP($D495,ウルトラ一覧!$A:$L,4,FALSE),"")</f>
        <v/>
      </c>
      <c r="N495">
        <f>IFERROR(VLOOKUP($D495,ウルトラ一覧!$A:$L,8,FALSE),"")</f>
        <v/>
      </c>
      <c r="O495">
        <f>IFERROR(VLOOKUP($D495,ウルトラ一覧!$A:$L,9,FALSE),"")</f>
        <v/>
      </c>
      <c r="P495">
        <f>IFERROR(VLOOKUP($D495,ウルトラ一覧!$A:$L,10,FALSE),"")</f>
        <v/>
      </c>
    </row>
    <row r="496">
      <c r="D496" s="4" t="n"/>
      <c r="K496">
        <f>IFERROR(VLOOKUP($D496,ウルトラ一覧!$A:$L,2,FALSE),"")</f>
        <v/>
      </c>
      <c r="L496">
        <f>IFERROR(VLOOKUP($D496,ウルトラ一覧!$A:$L,3,FALSE),"")</f>
        <v/>
      </c>
      <c r="M496">
        <f>IFERROR(VLOOKUP($D496,ウルトラ一覧!$A:$L,4,FALSE),"")</f>
        <v/>
      </c>
      <c r="N496">
        <f>IFERROR(VLOOKUP($D496,ウルトラ一覧!$A:$L,8,FALSE),"")</f>
        <v/>
      </c>
      <c r="O496">
        <f>IFERROR(VLOOKUP($D496,ウルトラ一覧!$A:$L,9,FALSE),"")</f>
        <v/>
      </c>
      <c r="P496">
        <f>IFERROR(VLOOKUP($D496,ウルトラ一覧!$A:$L,10,FALSE),"")</f>
        <v/>
      </c>
    </row>
    <row r="497">
      <c r="D497" s="4" t="n"/>
      <c r="K497">
        <f>IFERROR(VLOOKUP($D497,ウルトラ一覧!$A:$L,2,FALSE),"")</f>
        <v/>
      </c>
      <c r="L497">
        <f>IFERROR(VLOOKUP($D497,ウルトラ一覧!$A:$L,3,FALSE),"")</f>
        <v/>
      </c>
      <c r="M497">
        <f>IFERROR(VLOOKUP($D497,ウルトラ一覧!$A:$L,4,FALSE),"")</f>
        <v/>
      </c>
      <c r="N497">
        <f>IFERROR(VLOOKUP($D497,ウルトラ一覧!$A:$L,8,FALSE),"")</f>
        <v/>
      </c>
      <c r="O497">
        <f>IFERROR(VLOOKUP($D497,ウルトラ一覧!$A:$L,9,FALSE),"")</f>
        <v/>
      </c>
      <c r="P497">
        <f>IFERROR(VLOOKUP($D497,ウルトラ一覧!$A:$L,10,FALSE),"")</f>
        <v/>
      </c>
    </row>
    <row r="498">
      <c r="D498" s="4" t="n"/>
      <c r="K498">
        <f>IFERROR(VLOOKUP($D498,ウルトラ一覧!$A:$L,2,FALSE),"")</f>
        <v/>
      </c>
      <c r="L498">
        <f>IFERROR(VLOOKUP($D498,ウルトラ一覧!$A:$L,3,FALSE),"")</f>
        <v/>
      </c>
      <c r="M498">
        <f>IFERROR(VLOOKUP($D498,ウルトラ一覧!$A:$L,4,FALSE),"")</f>
        <v/>
      </c>
      <c r="N498">
        <f>IFERROR(VLOOKUP($D498,ウルトラ一覧!$A:$L,8,FALSE),"")</f>
        <v/>
      </c>
      <c r="O498">
        <f>IFERROR(VLOOKUP($D498,ウルトラ一覧!$A:$L,9,FALSE),"")</f>
        <v/>
      </c>
      <c r="P498">
        <f>IFERROR(VLOOKUP($D498,ウルトラ一覧!$A:$L,10,FALSE),"")</f>
        <v/>
      </c>
    </row>
    <row r="499">
      <c r="D499" s="4" t="n"/>
      <c r="K499">
        <f>IFERROR(VLOOKUP($D499,ウルトラ一覧!$A:$L,2,FALSE),"")</f>
        <v/>
      </c>
      <c r="L499">
        <f>IFERROR(VLOOKUP($D499,ウルトラ一覧!$A:$L,3,FALSE),"")</f>
        <v/>
      </c>
      <c r="M499">
        <f>IFERROR(VLOOKUP($D499,ウルトラ一覧!$A:$L,4,FALSE),"")</f>
        <v/>
      </c>
      <c r="N499">
        <f>IFERROR(VLOOKUP($D499,ウルトラ一覧!$A:$L,8,FALSE),"")</f>
        <v/>
      </c>
      <c r="O499">
        <f>IFERROR(VLOOKUP($D499,ウルトラ一覧!$A:$L,9,FALSE),"")</f>
        <v/>
      </c>
      <c r="P499">
        <f>IFERROR(VLOOKUP($D499,ウルトラ一覧!$A:$L,10,FALSE),"")</f>
        <v/>
      </c>
    </row>
    <row r="500">
      <c r="D500" s="4" t="n"/>
      <c r="K500">
        <f>IFERROR(VLOOKUP($D500,ウルトラ一覧!$A:$L,2,FALSE),"")</f>
        <v/>
      </c>
      <c r="L500">
        <f>IFERROR(VLOOKUP($D500,ウルトラ一覧!$A:$L,3,FALSE),"")</f>
        <v/>
      </c>
      <c r="M500">
        <f>IFERROR(VLOOKUP($D500,ウルトラ一覧!$A:$L,4,FALSE),"")</f>
        <v/>
      </c>
      <c r="N500">
        <f>IFERROR(VLOOKUP($D500,ウルトラ一覧!$A:$L,8,FALSE),"")</f>
        <v/>
      </c>
      <c r="O500">
        <f>IFERROR(VLOOKUP($D500,ウルトラ一覧!$A:$L,9,FALSE),"")</f>
        <v/>
      </c>
      <c r="P500">
        <f>IFERROR(VLOOKUP($D500,ウルトラ一覧!$A:$L,10,FALSE),"")</f>
        <v/>
      </c>
    </row>
  </sheetData>
  <dataValidations count="1">
    <dataValidation sqref="D2:D500" showDropDown="0" showInputMessage="0" showErrorMessage="0" allowBlank="1" type="list">
      <formula1>=ウルトラ一覧!$N$2:$N$46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C11" sqref="C11"/>
    </sheetView>
  </sheetViews>
  <sheetFormatPr baseColWidth="8" defaultRowHeight="13"/>
  <sheetData>
    <row r="1">
      <c r="A1" s="2" t="inlineStr">
        <is>
          <t>騎手名</t>
        </is>
      </c>
      <c r="B1" s="2" t="inlineStr">
        <is>
          <t>競馬場</t>
        </is>
      </c>
      <c r="C1" s="2" t="inlineStr">
        <is>
          <t>芝/ダ</t>
        </is>
      </c>
      <c r="D1" s="2" t="inlineStr">
        <is>
          <t>良</t>
        </is>
      </c>
      <c r="E1" s="2" t="inlineStr">
        <is>
          <t>稍重</t>
        </is>
      </c>
      <c r="F1" s="2" t="inlineStr">
        <is>
          <t>重</t>
        </is>
      </c>
      <c r="G1" s="2" t="inlineStr">
        <is>
          <t>不良</t>
        </is>
      </c>
      <c r="H1" s="2" t="inlineStr">
        <is>
          <t>妙味度</t>
        </is>
      </c>
      <c r="I1" s="2" t="inlineStr">
        <is>
          <t>単回収率(%)</t>
        </is>
      </c>
      <c r="J1" s="2" t="inlineStr">
        <is>
          <t>複回収率(%)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G9" sqref="G9"/>
    </sheetView>
  </sheetViews>
  <sheetFormatPr baseColWidth="8" defaultRowHeight="13"/>
  <sheetData>
    <row r="1">
      <c r="A1" s="2" t="inlineStr">
        <is>
          <t>日付</t>
        </is>
      </c>
      <c r="B1" s="2" t="inlineStr">
        <is>
          <t>条件名</t>
        </is>
      </c>
      <c r="C1" s="2" t="inlineStr">
        <is>
          <t>購入額</t>
        </is>
      </c>
      <c r="D1" s="2" t="inlineStr">
        <is>
          <t>払戻額</t>
        </is>
      </c>
      <c r="E1" s="2" t="inlineStr">
        <is>
          <t>回収率(%)</t>
        </is>
      </c>
      <c r="F1" s="2" t="inlineStr">
        <is>
          <t>反省・考察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:L17"/>
    </sheetView>
  </sheetViews>
  <sheetFormatPr baseColWidth="8" defaultRowHeight="13"/>
  <sheetData>
    <row r="1">
      <c r="A1" s="2" t="inlineStr">
        <is>
          <t>No</t>
        </is>
      </c>
      <c r="B1" s="2" t="inlineStr">
        <is>
          <t>コース</t>
        </is>
      </c>
      <c r="C1" s="2" t="inlineStr">
        <is>
          <t>条件①</t>
        </is>
      </c>
      <c r="D1" s="2" t="inlineStr">
        <is>
          <t>条件②</t>
        </is>
      </c>
      <c r="E1" s="2" t="inlineStr">
        <is>
          <t>総成績(1-2-3-着外/総数)</t>
        </is>
      </c>
      <c r="F1" s="2" t="inlineStr">
        <is>
          <t>勝率%</t>
        </is>
      </c>
      <c r="G1" s="2" t="inlineStr">
        <is>
          <t>連対率%</t>
        </is>
      </c>
      <c r="H1" s="2" t="inlineStr">
        <is>
          <t>3着内率%</t>
        </is>
      </c>
      <c r="I1" s="2" t="inlineStr">
        <is>
          <t>単回収率%</t>
        </is>
      </c>
      <c r="J1" s="2" t="inlineStr">
        <is>
          <t>複回収率%</t>
        </is>
      </c>
      <c r="K1" s="2" t="inlineStr">
        <is>
          <t>推奨券種</t>
        </is>
      </c>
      <c r="L1" s="2" t="inlineStr">
        <is>
          <t>使用可否</t>
        </is>
      </c>
    </row>
    <row r="2">
      <c r="A2" s="1" t="inlineStr">
        <is>
          <t>001</t>
        </is>
      </c>
      <c r="B2" s="1" t="inlineStr">
        <is>
          <t>東京芝1400m</t>
        </is>
      </c>
      <c r="C2" s="1" t="inlineStr">
        <is>
          <t>田辺裕信</t>
        </is>
      </c>
      <c r="D2" s="1" t="inlineStr">
        <is>
          <t>前走13着以内</t>
        </is>
      </c>
      <c r="E2" s="1" t="inlineStr">
        <is>
          <t>5-9-6-22/42</t>
        </is>
      </c>
      <c r="F2" s="1" t="n">
        <v>11.9</v>
      </c>
      <c r="G2" s="1" t="n">
        <v>33.3</v>
      </c>
      <c r="H2" s="1" t="n">
        <v>47.6</v>
      </c>
      <c r="I2" s="1" t="n">
        <v>402</v>
      </c>
      <c r="J2" s="1" t="n">
        <v>170</v>
      </c>
      <c r="K2" s="1" t="n"/>
      <c r="L2" s="1" t="n"/>
    </row>
    <row r="3">
      <c r="A3" s="1" t="inlineStr">
        <is>
          <t>002</t>
        </is>
      </c>
      <c r="B3" s="1" t="inlineStr">
        <is>
          <t>東京芝1400m</t>
        </is>
      </c>
      <c r="C3" s="1" t="inlineStr">
        <is>
          <t>戸崎圭太</t>
        </is>
      </c>
      <c r="D3" s="1" t="inlineStr">
        <is>
          <t>中12週以内</t>
        </is>
      </c>
      <c r="E3" s="1" t="inlineStr">
        <is>
          <t>11-7-6-16/40</t>
        </is>
      </c>
      <c r="F3" s="1" t="n">
        <v>27.5</v>
      </c>
      <c r="G3" s="1" t="n">
        <v>45</v>
      </c>
      <c r="H3" s="1" t="n">
        <v>60</v>
      </c>
      <c r="I3" s="1" t="n">
        <v>219</v>
      </c>
      <c r="J3" s="1" t="n">
        <v>160</v>
      </c>
      <c r="K3" s="1" t="n"/>
      <c r="L3" s="1" t="n"/>
    </row>
    <row r="4">
      <c r="A4" s="1" t="inlineStr">
        <is>
          <t>003</t>
        </is>
      </c>
      <c r="B4" s="1" t="inlineStr">
        <is>
          <t>東京芝1400-1600m</t>
        </is>
      </c>
      <c r="C4" s="1" t="inlineStr">
        <is>
          <t>父イスラボニータ</t>
        </is>
      </c>
      <c r="D4" s="1" t="inlineStr">
        <is>
          <t>前走8着以内</t>
        </is>
      </c>
      <c r="E4" s="1" t="inlineStr">
        <is>
          <t>13-11-10-44/78</t>
        </is>
      </c>
      <c r="F4" s="1" t="n">
        <v>16.7</v>
      </c>
      <c r="G4" s="1" t="n">
        <v>30.8</v>
      </c>
      <c r="H4" s="1" t="n">
        <v>43.6</v>
      </c>
      <c r="I4" s="1" t="n">
        <v>455</v>
      </c>
      <c r="J4" s="1" t="n">
        <v>154</v>
      </c>
      <c r="K4" s="1" t="n"/>
      <c r="L4" s="1" t="n"/>
    </row>
    <row r="5">
      <c r="A5" s="1" t="inlineStr">
        <is>
          <t>004</t>
        </is>
      </c>
      <c r="B5" s="1" t="inlineStr">
        <is>
          <t>東京芝1600m</t>
        </is>
      </c>
      <c r="C5" s="1" t="inlineStr">
        <is>
          <t>父モーリス</t>
        </is>
      </c>
      <c r="D5" s="1" t="inlineStr">
        <is>
          <t>3歳以下</t>
        </is>
      </c>
      <c r="E5" s="1" t="inlineStr">
        <is>
          <t>11-15-14-60/100</t>
        </is>
      </c>
      <c r="F5" s="1" t="n">
        <v>11</v>
      </c>
      <c r="G5" s="1" t="n">
        <v>26</v>
      </c>
      <c r="H5" s="1" t="n">
        <v>40</v>
      </c>
      <c r="I5" s="1" t="n">
        <v>218</v>
      </c>
      <c r="J5" s="1" t="n">
        <v>156</v>
      </c>
      <c r="K5" s="1" t="n"/>
      <c r="L5" s="1" t="n"/>
    </row>
    <row r="6">
      <c r="A6" s="1" t="inlineStr">
        <is>
          <t>005</t>
        </is>
      </c>
      <c r="B6" s="1" t="inlineStr">
        <is>
          <t>東京芝1600m</t>
        </is>
      </c>
      <c r="C6" s="1" t="inlineStr">
        <is>
          <t>父ロードカナロア</t>
        </is>
      </c>
      <c r="D6" s="1" t="inlineStr">
        <is>
          <t>前走15頭立て以上</t>
        </is>
      </c>
      <c r="E6" s="1" t="inlineStr">
        <is>
          <t>6-9-12-41/68</t>
        </is>
      </c>
      <c r="F6" s="1" t="n">
        <v>8.800000000000001</v>
      </c>
      <c r="G6" s="1" t="n">
        <v>22.1</v>
      </c>
      <c r="H6" s="1" t="n">
        <v>39.7</v>
      </c>
      <c r="I6" s="1" t="n">
        <v>19</v>
      </c>
      <c r="J6" s="1" t="n">
        <v>150</v>
      </c>
      <c r="K6" s="1" t="n"/>
      <c r="L6" s="1" t="n"/>
    </row>
    <row r="7">
      <c r="A7" s="1" t="inlineStr">
        <is>
          <t>006</t>
        </is>
      </c>
      <c r="B7" s="1" t="inlineStr">
        <is>
          <t>東京芝1600m</t>
        </is>
      </c>
      <c r="C7" s="1" t="inlineStr">
        <is>
          <t>吉田豊</t>
        </is>
      </c>
      <c r="D7" s="1" t="inlineStr">
        <is>
          <t>中8週以内</t>
        </is>
      </c>
      <c r="E7" s="1" t="inlineStr">
        <is>
          <t>4-7-13-17/41</t>
        </is>
      </c>
      <c r="F7" s="1" t="n">
        <v>9.800000000000001</v>
      </c>
      <c r="G7" s="1" t="n">
        <v>26.8</v>
      </c>
      <c r="H7" s="1" t="n">
        <v>58.5</v>
      </c>
      <c r="I7" s="1" t="n">
        <v>74</v>
      </c>
      <c r="J7" s="1" t="n">
        <v>209</v>
      </c>
      <c r="K7" s="1" t="n"/>
      <c r="L7" s="1" t="n"/>
    </row>
    <row r="8">
      <c r="A8" s="1" t="inlineStr">
        <is>
          <t>007</t>
        </is>
      </c>
      <c r="B8" s="1" t="inlineStr">
        <is>
          <t>東京芝1600m</t>
        </is>
      </c>
      <c r="C8" s="1" t="inlineStr">
        <is>
          <t>前走中京芝1600-2000m</t>
        </is>
      </c>
      <c r="D8" s="1" t="inlineStr">
        <is>
          <t>前走馬体重450kg以上</t>
        </is>
      </c>
      <c r="E8" s="1" t="inlineStr">
        <is>
          <t>7-6-10-38/61</t>
        </is>
      </c>
      <c r="F8" s="1" t="n">
        <v>11.5</v>
      </c>
      <c r="G8" s="1" t="n">
        <v>21.3</v>
      </c>
      <c r="H8" s="1" t="n">
        <v>37.7</v>
      </c>
      <c r="I8" s="1" t="n">
        <v>217</v>
      </c>
      <c r="J8" s="1" t="n">
        <v>178</v>
      </c>
      <c r="K8" s="1" t="n"/>
      <c r="L8" s="1" t="n"/>
    </row>
    <row r="9">
      <c r="A9" s="1" t="inlineStr">
        <is>
          <t>008</t>
        </is>
      </c>
      <c r="B9" s="1" t="inlineStr">
        <is>
          <t>東京芝1800-2000m</t>
        </is>
      </c>
      <c r="C9" s="1" t="inlineStr">
        <is>
          <t>父キズナ</t>
        </is>
      </c>
      <c r="D9" s="1" t="inlineStr">
        <is>
          <t>14頭立て以下+4歳以下</t>
        </is>
      </c>
      <c r="E9" s="1" t="inlineStr">
        <is>
          <t>13-13-11-39/76</t>
        </is>
      </c>
      <c r="F9" s="1" t="n">
        <v>17.1</v>
      </c>
      <c r="G9" s="1" t="n">
        <v>34.2</v>
      </c>
      <c r="H9" s="1" t="n">
        <v>48.7</v>
      </c>
      <c r="I9" s="1" t="n">
        <v>69</v>
      </c>
      <c r="J9" s="1" t="n">
        <v>151</v>
      </c>
      <c r="K9" s="1" t="n"/>
      <c r="L9" s="1" t="n"/>
    </row>
    <row r="10">
      <c r="A10" s="1" t="inlineStr">
        <is>
          <t>009</t>
        </is>
      </c>
      <c r="B10" s="1" t="inlineStr">
        <is>
          <t>東京芝2000m</t>
        </is>
      </c>
      <c r="C10" s="1" t="inlineStr">
        <is>
          <t>北村宏司+1-7番</t>
        </is>
      </c>
      <c r="D10" s="1" t="inlineStr">
        <is>
          <t>出走16頭以下</t>
        </is>
      </c>
      <c r="E10" s="1" t="inlineStr">
        <is>
          <t>7-3-7-16/33</t>
        </is>
      </c>
      <c r="F10" s="1" t="n">
        <v>21.2</v>
      </c>
      <c r="G10" s="1" t="n">
        <v>30.3</v>
      </c>
      <c r="H10" s="1" t="n">
        <v>51.5</v>
      </c>
      <c r="I10" s="1" t="n">
        <v>87</v>
      </c>
      <c r="J10" s="1" t="n">
        <v>200</v>
      </c>
      <c r="K10" s="1" t="n"/>
      <c r="L10" s="1" t="n"/>
    </row>
    <row r="11">
      <c r="A11" s="1" t="inlineStr">
        <is>
          <t>010</t>
        </is>
      </c>
      <c r="B11" s="1" t="inlineStr">
        <is>
          <t>東京芝2400-3400m</t>
        </is>
      </c>
      <c r="C11" s="1" t="inlineStr">
        <is>
          <t>父キングカメハメハ系+5-8枠</t>
        </is>
      </c>
      <c r="D11" s="1" t="inlineStr">
        <is>
          <t>13頭立て以下</t>
        </is>
      </c>
      <c r="E11" s="1" t="inlineStr">
        <is>
          <t>17-19-9-43/88</t>
        </is>
      </c>
      <c r="F11" s="1" t="n">
        <v>19.3</v>
      </c>
      <c r="G11" s="1" t="n">
        <v>40.9</v>
      </c>
      <c r="H11" s="1" t="n">
        <v>51.1</v>
      </c>
      <c r="I11" s="1" t="n">
        <v>64</v>
      </c>
      <c r="J11" s="1" t="n">
        <v>164</v>
      </c>
      <c r="K11" s="1" t="n"/>
      <c r="L11" s="1" t="n"/>
    </row>
    <row r="12">
      <c r="A12" s="1" t="inlineStr">
        <is>
          <t>011</t>
        </is>
      </c>
      <c r="B12" s="1" t="inlineStr">
        <is>
          <t>東京ダ1300m</t>
        </is>
      </c>
      <c r="C12" s="1" t="inlineStr">
        <is>
          <t>前走上がり2位以内+470kg以上</t>
        </is>
      </c>
      <c r="D12" s="1" t="inlineStr">
        <is>
          <t>中7週以内</t>
        </is>
      </c>
      <c r="E12" s="1" t="inlineStr">
        <is>
          <t>9-7-7-36/59</t>
        </is>
      </c>
      <c r="F12" s="1" t="n">
        <v>15.3</v>
      </c>
      <c r="G12" s="1" t="n">
        <v>27.1</v>
      </c>
      <c r="H12" s="1" t="n">
        <v>39</v>
      </c>
      <c r="I12" s="1" t="n">
        <v>221</v>
      </c>
      <c r="J12" s="1" t="n">
        <v>192</v>
      </c>
      <c r="K12" s="1" t="n"/>
      <c r="L12" s="1" t="n"/>
    </row>
    <row r="13">
      <c r="A13" s="1" t="inlineStr">
        <is>
          <t>012</t>
        </is>
      </c>
      <c r="B13" s="1" t="inlineStr">
        <is>
          <t>東京ダ1400m</t>
        </is>
      </c>
      <c r="C13" s="1" t="inlineStr">
        <is>
          <t>父ロードカナロア+4角5番手以内</t>
        </is>
      </c>
      <c r="D13" s="1" t="inlineStr">
        <is>
          <t>牡セン</t>
        </is>
      </c>
      <c r="E13" s="1" t="inlineStr">
        <is>
          <t>9-12-5-15/41</t>
        </is>
      </c>
      <c r="F13" s="1" t="n">
        <v>22</v>
      </c>
      <c r="G13" s="1" t="n">
        <v>51.2</v>
      </c>
      <c r="H13" s="1" t="n">
        <v>63.4</v>
      </c>
      <c r="I13" s="1" t="n">
        <v>152</v>
      </c>
      <c r="J13" s="1" t="n">
        <v>150</v>
      </c>
      <c r="K13" s="1" t="n"/>
      <c r="L13" s="1" t="n"/>
    </row>
    <row r="14">
      <c r="A14" s="1" t="inlineStr">
        <is>
          <t>013</t>
        </is>
      </c>
      <c r="B14" s="1" t="inlineStr">
        <is>
          <t>東京ダ1600m</t>
        </is>
      </c>
      <c r="C14" s="1" t="inlineStr">
        <is>
          <t>父キタサンブラック+前走10着以内</t>
        </is>
      </c>
      <c r="D14" s="1" t="inlineStr">
        <is>
          <t>5歳以下</t>
        </is>
      </c>
      <c r="E14" s="1" t="inlineStr">
        <is>
          <t>8-1-8-4/21</t>
        </is>
      </c>
      <c r="F14" s="1" t="n">
        <v>38.1</v>
      </c>
      <c r="G14" s="1" t="n">
        <v>42.9</v>
      </c>
      <c r="H14" s="1" t="n">
        <v>81</v>
      </c>
      <c r="I14" s="1" t="n">
        <v>178</v>
      </c>
      <c r="J14" s="1" t="n">
        <v>185</v>
      </c>
      <c r="K14" s="1" t="n"/>
      <c r="L14" s="1" t="n"/>
    </row>
    <row r="15">
      <c r="A15" s="1" t="inlineStr">
        <is>
          <t>014</t>
        </is>
      </c>
      <c r="B15" s="1" t="inlineStr">
        <is>
          <t>東京ダ1600m</t>
        </is>
      </c>
      <c r="C15" s="1" t="inlineStr">
        <is>
          <t>父ヘニーヒューズ+牡セン</t>
        </is>
      </c>
      <c r="D15" s="1" t="inlineStr">
        <is>
          <t>前走同頭数超</t>
        </is>
      </c>
      <c r="E15" s="1" t="inlineStr">
        <is>
          <t>5-10-9-18/42</t>
        </is>
      </c>
      <c r="F15" s="1" t="n">
        <v>11.9</v>
      </c>
      <c r="G15" s="1" t="n">
        <v>35.7</v>
      </c>
      <c r="H15" s="1" t="n">
        <v>57.1</v>
      </c>
      <c r="I15" s="1" t="n">
        <v>43</v>
      </c>
      <c r="J15" s="1" t="n">
        <v>178</v>
      </c>
      <c r="K15" s="1" t="n"/>
      <c r="L15" s="1" t="n"/>
    </row>
    <row r="16">
      <c r="A16" s="1" t="inlineStr">
        <is>
          <t>015</t>
        </is>
      </c>
      <c r="B16" s="1" t="inlineStr">
        <is>
          <t>東京ダ1600m</t>
        </is>
      </c>
      <c r="C16" s="1" t="inlineStr">
        <is>
          <t>前走中京ダ1400m+牡セン</t>
        </is>
      </c>
      <c r="D16" s="1" t="inlineStr">
        <is>
          <t>前走8着以内</t>
        </is>
      </c>
      <c r="E16" s="1" t="inlineStr">
        <is>
          <t>3-10-6-34/53</t>
        </is>
      </c>
      <c r="F16" s="1" t="n">
        <v>5.7</v>
      </c>
      <c r="G16" s="1" t="n">
        <v>24.5</v>
      </c>
      <c r="H16" s="1" t="n">
        <v>35.8</v>
      </c>
      <c r="I16" s="1" t="n">
        <v>32</v>
      </c>
      <c r="J16" s="1" t="n">
        <v>164</v>
      </c>
      <c r="K16" s="1" t="n"/>
      <c r="L16" s="1" t="n"/>
    </row>
    <row r="17">
      <c r="A17" s="1" t="inlineStr">
        <is>
          <t>016</t>
        </is>
      </c>
      <c r="B17" s="1" t="inlineStr">
        <is>
          <t>東京ダ2100m</t>
        </is>
      </c>
      <c r="C17" s="1" t="inlineStr">
        <is>
          <t>C.ルメール+父母父ミスプロ系以外</t>
        </is>
      </c>
      <c r="D17" s="1" t="inlineStr">
        <is>
          <t>牡セン</t>
        </is>
      </c>
      <c r="E17" s="1" t="inlineStr">
        <is>
          <t>8-4-2-2/16</t>
        </is>
      </c>
      <c r="F17" s="1" t="n">
        <v>50</v>
      </c>
      <c r="G17" s="1" t="n">
        <v>75</v>
      </c>
      <c r="H17" s="1" t="n">
        <v>87.5</v>
      </c>
      <c r="I17" s="1" t="n">
        <v>153</v>
      </c>
      <c r="J17" s="1" t="n">
        <v>164</v>
      </c>
      <c r="K17" s="1" t="n"/>
      <c r="L1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:E13"/>
    </sheetView>
  </sheetViews>
  <sheetFormatPr baseColWidth="8" defaultRowHeight="13"/>
  <sheetData>
    <row r="1">
      <c r="A1" s="1" t="inlineStr">
        <is>
          <t>コース</t>
        </is>
      </c>
      <c r="B1" s="1" t="inlineStr">
        <is>
          <t>集計R数</t>
        </is>
      </c>
      <c r="C1" s="1" t="inlineStr">
        <is>
          <t>平均頭数</t>
        </is>
      </c>
      <c r="D1" s="1" t="inlineStr">
        <is>
          <t>波乱指数</t>
        </is>
      </c>
      <c r="E1" s="1" t="inlineStr">
        <is>
          <t>波乱ランク</t>
        </is>
      </c>
    </row>
    <row r="2">
      <c r="A2" s="1" t="inlineStr">
        <is>
          <t>東京芝1400m</t>
        </is>
      </c>
      <c r="B2" s="1" t="inlineStr">
        <is>
          <t>154R</t>
        </is>
      </c>
      <c r="C2" s="1" t="n">
        <v>14.9</v>
      </c>
      <c r="D2" s="1" t="inlineStr">
        <is>
          <t>+6</t>
        </is>
      </c>
      <c r="E2" s="1" t="inlineStr">
        <is>
          <t>B</t>
        </is>
      </c>
    </row>
    <row r="3">
      <c r="A3" s="1" t="inlineStr">
        <is>
          <t>東京芝1600m</t>
        </is>
      </c>
      <c r="B3" s="1" t="inlineStr">
        <is>
          <t>210R</t>
        </is>
      </c>
      <c r="C3" s="1" t="n">
        <v>14.3</v>
      </c>
      <c r="D3" s="1" t="inlineStr">
        <is>
          <t>-2</t>
        </is>
      </c>
      <c r="E3" s="1" t="inlineStr">
        <is>
          <t>C</t>
        </is>
      </c>
    </row>
    <row r="4">
      <c r="A4" s="1" t="inlineStr">
        <is>
          <t>東京芝1800m</t>
        </is>
      </c>
      <c r="B4" s="1" t="inlineStr">
        <is>
          <t>174R</t>
        </is>
      </c>
      <c r="C4" s="1" t="n">
        <v>13.7</v>
      </c>
      <c r="D4" s="1" t="inlineStr">
        <is>
          <t>-12</t>
        </is>
      </c>
      <c r="E4" s="1" t="inlineStr">
        <is>
          <t>E</t>
        </is>
      </c>
    </row>
    <row r="5">
      <c r="A5" s="1" t="inlineStr">
        <is>
          <t>東京芝2000m</t>
        </is>
      </c>
      <c r="B5" s="1" t="inlineStr">
        <is>
          <t>125R</t>
        </is>
      </c>
      <c r="C5" s="1" t="n">
        <v>12.4</v>
      </c>
      <c r="D5" s="1" t="inlineStr">
        <is>
          <t>-7</t>
        </is>
      </c>
      <c r="E5" s="1" t="inlineStr">
        <is>
          <t>D</t>
        </is>
      </c>
    </row>
    <row r="6">
      <c r="A6" s="1" t="inlineStr">
        <is>
          <t>東京芝2300m</t>
        </is>
      </c>
      <c r="B6" s="1" t="inlineStr">
        <is>
          <t>4R</t>
        </is>
      </c>
      <c r="C6" s="1" t="n">
        <v>12</v>
      </c>
      <c r="D6" s="1" t="inlineStr">
        <is>
          <t>-4</t>
        </is>
      </c>
      <c r="E6" s="1" t="inlineStr">
        <is>
          <t>D</t>
        </is>
      </c>
    </row>
    <row r="7">
      <c r="A7" s="1" t="inlineStr">
        <is>
          <t>東京芝2400m</t>
        </is>
      </c>
      <c r="B7" s="1" t="inlineStr">
        <is>
          <t>88R</t>
        </is>
      </c>
      <c r="C7" s="1" t="n">
        <v>13.4</v>
      </c>
      <c r="D7" s="1" t="inlineStr">
        <is>
          <t>-7</t>
        </is>
      </c>
      <c r="E7" s="1" t="inlineStr">
        <is>
          <t>D</t>
        </is>
      </c>
    </row>
    <row r="8">
      <c r="A8" s="1" t="inlineStr">
        <is>
          <t>東京芝2500m</t>
        </is>
      </c>
      <c r="B8" s="1" t="inlineStr">
        <is>
          <t>8R</t>
        </is>
      </c>
      <c r="C8" s="1" t="n">
        <v>15.8</v>
      </c>
      <c r="D8" s="1" t="inlineStr">
        <is>
          <t>-19</t>
        </is>
      </c>
      <c r="E8" s="1" t="inlineStr">
        <is>
          <t>E</t>
        </is>
      </c>
    </row>
    <row r="9">
      <c r="A9" s="1" t="inlineStr">
        <is>
          <t>東京芝3400m</t>
        </is>
      </c>
      <c r="B9" s="1" t="inlineStr">
        <is>
          <t>3R</t>
        </is>
      </c>
      <c r="C9" s="1" t="n">
        <v>14.6</v>
      </c>
      <c r="D9" s="1" t="inlineStr">
        <is>
          <t>+15</t>
        </is>
      </c>
      <c r="E9" s="1" t="inlineStr">
        <is>
          <t>A</t>
        </is>
      </c>
    </row>
    <row r="10">
      <c r="A10" s="1" t="inlineStr">
        <is>
          <t>東京ダ1300m</t>
        </is>
      </c>
      <c r="B10" s="1" t="inlineStr">
        <is>
          <t>69R</t>
        </is>
      </c>
      <c r="C10" s="1" t="n">
        <v>15.7</v>
      </c>
      <c r="D10" s="1" t="inlineStr">
        <is>
          <t>+6</t>
        </is>
      </c>
      <c r="E10" s="1" t="inlineStr">
        <is>
          <t>B</t>
        </is>
      </c>
    </row>
    <row r="11">
      <c r="A11" s="1" t="inlineStr">
        <is>
          <t>東京ダ1400m</t>
        </is>
      </c>
      <c r="B11" s="1" t="inlineStr">
        <is>
          <t>274R</t>
        </is>
      </c>
      <c r="C11" s="1" t="n">
        <v>15.6</v>
      </c>
      <c r="D11" s="1" t="inlineStr">
        <is>
          <t>-4</t>
        </is>
      </c>
      <c r="E11" s="1" t="inlineStr">
        <is>
          <t>D</t>
        </is>
      </c>
    </row>
    <row r="12">
      <c r="A12" s="1" t="inlineStr">
        <is>
          <t>東京ダ1600m</t>
        </is>
      </c>
      <c r="B12" s="1" t="inlineStr">
        <is>
          <t>339R</t>
        </is>
      </c>
      <c r="C12" s="1" t="n">
        <v>15.1</v>
      </c>
      <c r="D12" s="1" t="inlineStr">
        <is>
          <t>-4</t>
        </is>
      </c>
      <c r="E12" s="1" t="inlineStr">
        <is>
          <t>D</t>
        </is>
      </c>
    </row>
    <row r="13">
      <c r="A13" s="1" t="inlineStr">
        <is>
          <t>東京ダ2100m</t>
        </is>
      </c>
      <c r="B13" s="1" t="inlineStr">
        <is>
          <t>112R</t>
        </is>
      </c>
      <c r="C13" s="1" t="n">
        <v>15</v>
      </c>
      <c r="D13" s="1" t="inlineStr">
        <is>
          <t>-10</t>
        </is>
      </c>
      <c r="E13" s="1" t="inlineStr">
        <is>
          <t>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D18" sqref="D18"/>
    </sheetView>
  </sheetViews>
  <sheetFormatPr baseColWidth="8" defaultRowHeight="13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No</t>
        </is>
      </c>
      <c r="B1" s="1" t="inlineStr">
        <is>
          <t>コース</t>
        </is>
      </c>
      <c r="C1" s="1" t="inlineStr">
        <is>
          <t>条件①</t>
        </is>
      </c>
      <c r="D1" s="1" t="inlineStr">
        <is>
          <t>条件②</t>
        </is>
      </c>
      <c r="E1" s="1" t="inlineStr">
        <is>
          <t>総成績(1-2-3-着外/総数)</t>
        </is>
      </c>
      <c r="F1" s="1" t="inlineStr">
        <is>
          <t>勝率%</t>
        </is>
      </c>
      <c r="G1" s="1" t="inlineStr">
        <is>
          <t>連対率%</t>
        </is>
      </c>
      <c r="H1" s="1" t="inlineStr">
        <is>
          <t>3着内率%</t>
        </is>
      </c>
      <c r="I1" s="1" t="inlineStr">
        <is>
          <t>単回収率%</t>
        </is>
      </c>
      <c r="J1" s="1" t="inlineStr">
        <is>
          <t>複回収率%</t>
        </is>
      </c>
      <c r="K1" s="2" t="inlineStr">
        <is>
          <t>推奨券種</t>
        </is>
      </c>
      <c r="L1" s="2" t="inlineStr">
        <is>
          <t>使用可否</t>
        </is>
      </c>
    </row>
    <row r="2">
      <c r="A2" s="1" t="inlineStr">
        <is>
          <t>031</t>
        </is>
      </c>
      <c r="B2" s="1" t="inlineStr">
        <is>
          <t>京都芝1200m内</t>
        </is>
      </c>
      <c r="C2" s="1" t="inlineStr">
        <is>
          <t>前走4角1番手</t>
        </is>
      </c>
      <c r="D2" s="1" t="inlineStr">
        <is>
          <t>3歳以上</t>
        </is>
      </c>
      <c r="E2" s="1" t="inlineStr">
        <is>
          <t>12-9-5-44/70</t>
        </is>
      </c>
      <c r="F2" s="1" t="n">
        <v>17.1</v>
      </c>
      <c r="G2" s="1" t="n">
        <v>30</v>
      </c>
      <c r="H2" s="1" t="n">
        <v>37.1</v>
      </c>
      <c r="I2" s="1" t="n">
        <v>141</v>
      </c>
      <c r="J2" s="1" t="n">
        <v>168</v>
      </c>
      <c r="K2" s="1" t="n"/>
      <c r="L2" s="1" t="n"/>
    </row>
    <row r="3">
      <c r="A3" s="1" t="inlineStr">
        <is>
          <t>032</t>
        </is>
      </c>
      <c r="B3" s="1" t="inlineStr">
        <is>
          <t>京都芝1200-1400m内</t>
        </is>
      </c>
      <c r="C3" s="1" t="inlineStr">
        <is>
          <t>西村淳也+4歳以下</t>
        </is>
      </c>
      <c r="D3" s="1" t="n"/>
      <c r="E3" s="1" t="inlineStr">
        <is>
          <t>2-4-10-17/33</t>
        </is>
      </c>
      <c r="F3" s="1" t="n">
        <v>6.1</v>
      </c>
      <c r="G3" s="1" t="n">
        <v>18.2</v>
      </c>
      <c r="H3" s="1" t="n">
        <v>48.5</v>
      </c>
      <c r="I3" s="1" t="n">
        <v>21</v>
      </c>
      <c r="J3" s="1" t="n">
        <v>162</v>
      </c>
      <c r="K3" s="1" t="n"/>
      <c r="L3" s="1" t="n"/>
    </row>
    <row r="4">
      <c r="A4" s="1" t="inlineStr">
        <is>
          <t>033</t>
        </is>
      </c>
      <c r="B4" s="1" t="inlineStr">
        <is>
          <t>京都芝1400m外</t>
        </is>
      </c>
      <c r="C4" s="1" t="inlineStr">
        <is>
          <t>前走4角1番手</t>
        </is>
      </c>
      <c r="D4" s="1" t="inlineStr">
        <is>
          <t>前走同距離以上+4歳以下</t>
        </is>
      </c>
      <c r="E4" s="1" t="inlineStr">
        <is>
          <t>7-5-6-25/43</t>
        </is>
      </c>
      <c r="F4" s="1" t="n">
        <v>16.3</v>
      </c>
      <c r="G4" s="1" t="n">
        <v>27.9</v>
      </c>
      <c r="H4" s="1" t="n">
        <v>41.9</v>
      </c>
      <c r="I4" s="1" t="n">
        <v>215</v>
      </c>
      <c r="J4" s="1" t="n">
        <v>166</v>
      </c>
      <c r="K4" s="1" t="n"/>
      <c r="L4" s="1" t="n"/>
    </row>
    <row r="5">
      <c r="A5" s="1" t="inlineStr">
        <is>
          <t>034</t>
        </is>
      </c>
      <c r="B5" s="1" t="inlineStr">
        <is>
          <t>京都芝1600-1800m</t>
        </is>
      </c>
      <c r="C5" s="1" t="inlineStr">
        <is>
          <t>西村淳也</t>
        </is>
      </c>
      <c r="D5" s="1" t="inlineStr">
        <is>
          <t>14頭立て以下</t>
        </is>
      </c>
      <c r="E5" s="1" t="inlineStr">
        <is>
          <t>10-18-15-24/67</t>
        </is>
      </c>
      <c r="F5" s="1" t="n">
        <v>14.9</v>
      </c>
      <c r="G5" s="1" t="n">
        <v>41.8</v>
      </c>
      <c r="H5" s="1" t="n">
        <v>64.2</v>
      </c>
      <c r="I5" s="1" t="n">
        <v>61</v>
      </c>
      <c r="J5" s="1" t="n">
        <v>153</v>
      </c>
      <c r="K5" s="1" t="n"/>
      <c r="L5" s="1" t="n"/>
    </row>
    <row r="6">
      <c r="A6" s="1" t="inlineStr">
        <is>
          <t>035</t>
        </is>
      </c>
      <c r="B6" s="1" t="inlineStr">
        <is>
          <t>京都芝1600m外</t>
        </is>
      </c>
      <c r="C6" s="1" t="inlineStr">
        <is>
          <t>14-18番+450kg以上</t>
        </is>
      </c>
      <c r="D6" s="1" t="inlineStr">
        <is>
          <t>4歳以下</t>
        </is>
      </c>
      <c r="E6" s="1" t="inlineStr">
        <is>
          <t>8-5-7-39/59</t>
        </is>
      </c>
      <c r="F6" s="1" t="n">
        <v>13.6</v>
      </c>
      <c r="G6" s="1" t="n">
        <v>22</v>
      </c>
      <c r="H6" s="1" t="n">
        <v>33.9</v>
      </c>
      <c r="I6" s="1" t="n">
        <v>343</v>
      </c>
      <c r="J6" s="1" t="n">
        <v>246</v>
      </c>
      <c r="K6" s="1" t="n"/>
      <c r="L6" s="1" t="n"/>
    </row>
    <row r="7">
      <c r="A7" s="1" t="inlineStr">
        <is>
          <t>036</t>
        </is>
      </c>
      <c r="B7" s="1" t="inlineStr">
        <is>
          <t>京都芝1800m外</t>
        </is>
      </c>
      <c r="C7" s="1" t="inlineStr">
        <is>
          <t>父グラスワンダー系</t>
        </is>
      </c>
      <c r="D7" s="1" t="inlineStr">
        <is>
          <t>前走12着以内</t>
        </is>
      </c>
      <c r="E7" s="1" t="inlineStr">
        <is>
          <t>5-10-3-24/42</t>
        </is>
      </c>
      <c r="F7" s="1" t="n">
        <v>11.9</v>
      </c>
      <c r="G7" s="1" t="n">
        <v>35.7</v>
      </c>
      <c r="H7" s="1" t="n">
        <v>42.9</v>
      </c>
      <c r="I7" s="1" t="n">
        <v>79</v>
      </c>
      <c r="J7" s="1" t="n">
        <v>277</v>
      </c>
      <c r="K7" s="1" t="n"/>
      <c r="L7" s="1" t="n"/>
    </row>
    <row r="8">
      <c r="A8" s="1" t="inlineStr">
        <is>
          <t>037</t>
        </is>
      </c>
      <c r="B8" s="1" t="inlineStr">
        <is>
          <t>京都芝2200m外</t>
        </is>
      </c>
      <c r="C8" s="1" t="inlineStr">
        <is>
          <t>川田将雅+関西馬</t>
        </is>
      </c>
      <c r="D8" s="1" t="n"/>
      <c r="E8" s="1" t="inlineStr">
        <is>
          <t>6-3-5-2/16</t>
        </is>
      </c>
      <c r="F8" s="1" t="n">
        <v>37.5</v>
      </c>
      <c r="G8" s="1" t="n">
        <v>56.3</v>
      </c>
      <c r="H8" s="1" t="n">
        <v>87.5</v>
      </c>
      <c r="I8" s="1" t="n">
        <v>168</v>
      </c>
      <c r="J8" s="1" t="n">
        <v>190</v>
      </c>
      <c r="K8" s="1" t="n"/>
      <c r="L8" s="1" t="n"/>
    </row>
    <row r="9">
      <c r="A9" s="1" t="inlineStr">
        <is>
          <t>038</t>
        </is>
      </c>
      <c r="B9" s="1" t="inlineStr">
        <is>
          <t>京都芝2400-3000m</t>
        </is>
      </c>
      <c r="C9" s="1" t="inlineStr">
        <is>
          <t>前走上がり2位以内</t>
        </is>
      </c>
      <c r="D9" s="1" t="inlineStr">
        <is>
          <t>前走同頭数以上</t>
        </is>
      </c>
      <c r="E9" s="1" t="inlineStr">
        <is>
          <t>10-12-9-27/58</t>
        </is>
      </c>
      <c r="F9" s="1" t="n">
        <v>17.2</v>
      </c>
      <c r="G9" s="1" t="n">
        <v>37.9</v>
      </c>
      <c r="H9" s="1" t="n">
        <v>53.4</v>
      </c>
      <c r="I9" s="1" t="n">
        <v>70</v>
      </c>
      <c r="J9" s="1" t="n">
        <v>171</v>
      </c>
      <c r="K9" s="1" t="n"/>
      <c r="L9" s="1" t="n"/>
    </row>
    <row r="10">
      <c r="A10" s="1" t="inlineStr">
        <is>
          <t>039</t>
        </is>
      </c>
      <c r="B10" s="1" t="inlineStr">
        <is>
          <t>京都ダ1200m</t>
        </is>
      </c>
      <c r="C10" s="1" t="inlineStr">
        <is>
          <t>父ドレフォン+前走4着以内</t>
        </is>
      </c>
      <c r="D10" s="1" t="inlineStr">
        <is>
          <t>中8週以内</t>
        </is>
      </c>
      <c r="E10" s="1" t="inlineStr">
        <is>
          <t>5-9-4-18/36</t>
        </is>
      </c>
      <c r="F10" s="1" t="n">
        <v>13.9</v>
      </c>
      <c r="G10" s="1" t="n">
        <v>38.9</v>
      </c>
      <c r="H10" s="1" t="n">
        <v>50</v>
      </c>
      <c r="I10" s="1" t="n">
        <v>78</v>
      </c>
      <c r="J10" s="1" t="n">
        <v>175</v>
      </c>
      <c r="K10" s="1" t="n"/>
      <c r="L10" s="1" t="n"/>
    </row>
    <row r="11">
      <c r="A11" s="1" t="inlineStr">
        <is>
          <t>040</t>
        </is>
      </c>
      <c r="B11" s="1" t="inlineStr">
        <is>
          <t>京都ダ1400m</t>
        </is>
      </c>
      <c r="C11" s="1" t="inlineStr">
        <is>
          <t>坂井瑠星+1-9番+牡セン</t>
        </is>
      </c>
      <c r="D11" s="1" t="n"/>
      <c r="E11" s="1" t="inlineStr">
        <is>
          <t>11-5-5-13/34</t>
        </is>
      </c>
      <c r="F11" s="1" t="n">
        <v>32.4</v>
      </c>
      <c r="G11" s="1" t="n">
        <v>47.1</v>
      </c>
      <c r="H11" s="1" t="n">
        <v>61.8</v>
      </c>
      <c r="I11" s="1" t="n">
        <v>158</v>
      </c>
      <c r="J11" s="1" t="n">
        <v>160</v>
      </c>
      <c r="K11" s="1" t="n"/>
      <c r="L11" s="1" t="n"/>
    </row>
    <row r="12">
      <c r="A12" s="1" t="inlineStr">
        <is>
          <t>041</t>
        </is>
      </c>
      <c r="B12" s="1" t="inlineStr">
        <is>
          <t>京都ダ1400-1800m</t>
        </is>
      </c>
      <c r="C12" s="1" t="inlineStr">
        <is>
          <t>高杉史麒+前走ダ</t>
        </is>
      </c>
      <c r="D12" s="1" t="inlineStr">
        <is>
          <t>出走13頭以上</t>
        </is>
      </c>
      <c r="E12" s="1" t="inlineStr">
        <is>
          <t>9-10-6-45/70</t>
        </is>
      </c>
      <c r="F12" s="1" t="n">
        <v>12.9</v>
      </c>
      <c r="G12" s="1" t="n">
        <v>27.1</v>
      </c>
      <c r="H12" s="1" t="n">
        <v>35.7</v>
      </c>
      <c r="I12" s="1" t="n">
        <v>176</v>
      </c>
      <c r="J12" s="1" t="n">
        <v>223</v>
      </c>
      <c r="K12" s="1" t="n"/>
      <c r="L12" s="1" t="n"/>
    </row>
    <row r="13">
      <c r="A13" s="1" t="inlineStr">
        <is>
          <t>042</t>
        </is>
      </c>
      <c r="B13" s="1" t="inlineStr">
        <is>
          <t>京都ダ1800m</t>
        </is>
      </c>
      <c r="C13" s="1" t="inlineStr">
        <is>
          <t>父シニスターミニスター+4歳以下</t>
        </is>
      </c>
      <c r="D13" s="1" t="n"/>
      <c r="E13" s="1" t="inlineStr">
        <is>
          <t>25-18-7-63/113</t>
        </is>
      </c>
      <c r="F13" s="1" t="n">
        <v>22.1</v>
      </c>
      <c r="G13" s="1" t="n">
        <v>38.1</v>
      </c>
      <c r="H13" s="1" t="n">
        <v>44.2</v>
      </c>
      <c r="I13" s="1" t="n">
        <v>148</v>
      </c>
      <c r="J13" s="1" t="n">
        <v>151</v>
      </c>
      <c r="K13" s="1" t="n"/>
      <c r="L13" s="1" t="n"/>
    </row>
    <row r="14">
      <c r="A14" s="1" t="inlineStr">
        <is>
          <t>043</t>
        </is>
      </c>
      <c r="B14" s="1" t="inlineStr">
        <is>
          <t>京都ダ1800-1900m</t>
        </is>
      </c>
      <c r="C14" s="1" t="inlineStr">
        <is>
          <t>鮫島克駿+480kg以上+前走8着以内</t>
        </is>
      </c>
      <c r="D14" s="1" t="n"/>
      <c r="E14" s="1" t="inlineStr">
        <is>
          <t>3-9-13-28/53</t>
        </is>
      </c>
      <c r="F14" s="1" t="n">
        <v>5.7</v>
      </c>
      <c r="G14" s="1" t="n">
        <v>22.6</v>
      </c>
      <c r="H14" s="1" t="n">
        <v>47.2</v>
      </c>
      <c r="I14" s="1" t="n">
        <v>29</v>
      </c>
      <c r="J14" s="1" t="n">
        <v>175</v>
      </c>
      <c r="K14" s="1" t="n"/>
      <c r="L14" s="1" t="n"/>
    </row>
    <row r="15">
      <c r="A15" s="1" t="inlineStr">
        <is>
          <t>044</t>
        </is>
      </c>
      <c r="B15" s="1" t="inlineStr">
        <is>
          <t>京都ダ1800-1900m</t>
        </is>
      </c>
      <c r="C15" s="1" t="inlineStr">
        <is>
          <t>田口貫太+4角2番手以内+450kg以上</t>
        </is>
      </c>
      <c r="D15" s="1" t="n"/>
      <c r="E15" s="1" t="inlineStr">
        <is>
          <t>4-10-10-30/54</t>
        </is>
      </c>
      <c r="F15" s="1" t="n">
        <v>7.4</v>
      </c>
      <c r="G15" s="1" t="n">
        <v>25.9</v>
      </c>
      <c r="H15" s="1" t="n">
        <v>44.4</v>
      </c>
      <c r="I15" s="1" t="n">
        <v>396</v>
      </c>
      <c r="J15" s="1" t="n">
        <v>218</v>
      </c>
      <c r="K15" s="1" t="n"/>
      <c r="L15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:E16"/>
    </sheetView>
  </sheetViews>
  <sheetFormatPr baseColWidth="8" defaultRowHeight="13"/>
  <sheetData>
    <row r="1">
      <c r="A1" s="1" t="inlineStr">
        <is>
          <t>コース</t>
        </is>
      </c>
      <c r="B1" s="1" t="inlineStr">
        <is>
          <t>集計R数</t>
        </is>
      </c>
      <c r="C1" s="1" t="inlineStr">
        <is>
          <t>平均頭数</t>
        </is>
      </c>
      <c r="D1" s="1" t="inlineStr">
        <is>
          <t>波乱指数</t>
        </is>
      </c>
      <c r="E1" s="1" t="inlineStr">
        <is>
          <t>波乱ランク</t>
        </is>
      </c>
    </row>
    <row r="2">
      <c r="A2" s="1" t="inlineStr">
        <is>
          <t>京都芝1200m内</t>
        </is>
      </c>
      <c r="B2" s="1" t="inlineStr">
        <is>
          <t>60R</t>
        </is>
      </c>
      <c r="C2" s="1" t="n">
        <v>15.3</v>
      </c>
      <c r="D2" s="1" t="inlineStr">
        <is>
          <t>+7</t>
        </is>
      </c>
      <c r="E2" s="1" t="inlineStr">
        <is>
          <t>B</t>
        </is>
      </c>
    </row>
    <row r="3">
      <c r="A3" s="1" t="inlineStr">
        <is>
          <t>京都芝1400m内</t>
        </is>
      </c>
      <c r="B3" s="1" t="inlineStr">
        <is>
          <t>31R</t>
        </is>
      </c>
      <c r="C3" s="1" t="n">
        <v>16.2</v>
      </c>
      <c r="D3" s="1" t="inlineStr">
        <is>
          <t>±0</t>
        </is>
      </c>
      <c r="E3" s="1" t="inlineStr">
        <is>
          <t>C</t>
        </is>
      </c>
    </row>
    <row r="4">
      <c r="A4" s="1" t="inlineStr">
        <is>
          <t>京都芝1400m外</t>
        </is>
      </c>
      <c r="B4" s="1" t="inlineStr">
        <is>
          <t>62R</t>
        </is>
      </c>
      <c r="C4" s="1" t="n">
        <v>14.8</v>
      </c>
      <c r="D4" s="1" t="inlineStr">
        <is>
          <t>+10</t>
        </is>
      </c>
      <c r="E4" s="1" t="inlineStr">
        <is>
          <t>A</t>
        </is>
      </c>
    </row>
    <row r="5">
      <c r="A5" s="1" t="inlineStr">
        <is>
          <t>京都芝1600m内</t>
        </is>
      </c>
      <c r="B5" s="1" t="inlineStr">
        <is>
          <t>80R</t>
        </is>
      </c>
      <c r="C5" s="1" t="n">
        <v>14.9</v>
      </c>
      <c r="D5" s="1" t="inlineStr">
        <is>
          <t>+1</t>
        </is>
      </c>
      <c r="E5" s="1" t="inlineStr">
        <is>
          <t>C</t>
        </is>
      </c>
    </row>
    <row r="6">
      <c r="A6" s="1" t="inlineStr">
        <is>
          <t>京都芝1600m外</t>
        </is>
      </c>
      <c r="B6" s="1" t="inlineStr">
        <is>
          <t>60R</t>
        </is>
      </c>
      <c r="C6" s="1" t="n">
        <v>13.7</v>
      </c>
      <c r="D6" s="1" t="inlineStr">
        <is>
          <t>+2</t>
        </is>
      </c>
      <c r="E6" s="1" t="inlineStr">
        <is>
          <t>C</t>
        </is>
      </c>
    </row>
    <row r="7">
      <c r="A7" s="1" t="inlineStr">
        <is>
          <t>京都芝1800m外</t>
        </is>
      </c>
      <c r="B7" s="1" t="inlineStr">
        <is>
          <t>110R</t>
        </is>
      </c>
      <c r="C7" s="1" t="n">
        <v>13.1</v>
      </c>
      <c r="D7" s="1" t="inlineStr">
        <is>
          <t>+12</t>
        </is>
      </c>
      <c r="E7" s="1" t="inlineStr">
        <is>
          <t>A</t>
        </is>
      </c>
    </row>
    <row r="8">
      <c r="A8" s="1" t="inlineStr">
        <is>
          <t>京都芝2000m内</t>
        </is>
      </c>
      <c r="B8" s="1" t="inlineStr">
        <is>
          <t>106R</t>
        </is>
      </c>
      <c r="C8" s="1" t="n">
        <v>12.4</v>
      </c>
      <c r="D8" s="1" t="inlineStr">
        <is>
          <t>+6</t>
        </is>
      </c>
      <c r="E8" s="1" t="inlineStr">
        <is>
          <t>B</t>
        </is>
      </c>
    </row>
    <row r="9">
      <c r="A9" s="1" t="inlineStr">
        <is>
          <t>京都芝2200m外</t>
        </is>
      </c>
      <c r="B9" s="1" t="inlineStr">
        <is>
          <t>43R</t>
        </is>
      </c>
      <c r="C9" s="1" t="n">
        <v>12.7</v>
      </c>
      <c r="D9" s="1" t="inlineStr">
        <is>
          <t>-8</t>
        </is>
      </c>
      <c r="E9" s="1" t="inlineStr">
        <is>
          <t>D</t>
        </is>
      </c>
    </row>
    <row r="10">
      <c r="A10" s="1" t="inlineStr">
        <is>
          <t>京都芝2400m外</t>
        </is>
      </c>
      <c r="B10" s="1" t="inlineStr">
        <is>
          <t>36R</t>
        </is>
      </c>
      <c r="C10" s="1" t="n">
        <v>12.2</v>
      </c>
      <c r="D10" s="1" t="inlineStr">
        <is>
          <t>-1</t>
        </is>
      </c>
      <c r="E10" s="1" t="inlineStr">
        <is>
          <t>C</t>
        </is>
      </c>
    </row>
    <row r="11">
      <c r="A11" s="1" t="inlineStr">
        <is>
          <t>京都芝3000m外</t>
        </is>
      </c>
      <c r="B11" s="1" t="inlineStr">
        <is>
          <t>5R</t>
        </is>
      </c>
      <c r="C11" s="1" t="n">
        <v>15.6</v>
      </c>
      <c r="D11" s="1" t="inlineStr">
        <is>
          <t>-24</t>
        </is>
      </c>
      <c r="E11" s="1" t="inlineStr">
        <is>
          <t>E</t>
        </is>
      </c>
    </row>
    <row r="12">
      <c r="A12" s="1" t="inlineStr">
        <is>
          <t>京都芝3200m外</t>
        </is>
      </c>
      <c r="B12" s="1" t="inlineStr">
        <is>
          <t>3R</t>
        </is>
      </c>
      <c r="C12" s="1" t="n">
        <v>16.7</v>
      </c>
      <c r="D12" s="1" t="inlineStr">
        <is>
          <t>-21</t>
        </is>
      </c>
      <c r="E12" s="1" t="inlineStr">
        <is>
          <t>E</t>
        </is>
      </c>
    </row>
    <row r="13">
      <c r="A13" s="1" t="inlineStr">
        <is>
          <t>京都ダ1200m</t>
        </is>
      </c>
      <c r="B13" s="1" t="inlineStr">
        <is>
          <t>149R</t>
        </is>
      </c>
      <c r="C13" s="1" t="n">
        <v>15</v>
      </c>
      <c r="D13" s="1" t="inlineStr">
        <is>
          <t>+2</t>
        </is>
      </c>
      <c r="E13" s="1" t="inlineStr">
        <is>
          <t>C</t>
        </is>
      </c>
    </row>
    <row r="14">
      <c r="A14" s="1" t="inlineStr">
        <is>
          <t>京都ダ1400m</t>
        </is>
      </c>
      <c r="B14" s="1" t="inlineStr">
        <is>
          <t>178R</t>
        </is>
      </c>
      <c r="C14" s="1" t="n">
        <v>14.9</v>
      </c>
      <c r="D14" s="1" t="inlineStr">
        <is>
          <t>-5</t>
        </is>
      </c>
      <c r="E14" s="1" t="inlineStr">
        <is>
          <t>D</t>
        </is>
      </c>
    </row>
    <row r="15">
      <c r="A15" s="1" t="inlineStr">
        <is>
          <t>京都ダ1800m</t>
        </is>
      </c>
      <c r="B15" s="1" t="inlineStr">
        <is>
          <t>283R</t>
        </is>
      </c>
      <c r="C15" s="1" t="n">
        <v>13.6</v>
      </c>
      <c r="D15" s="1" t="inlineStr">
        <is>
          <t>+3</t>
        </is>
      </c>
      <c r="E15" s="1" t="inlineStr">
        <is>
          <t>B</t>
        </is>
      </c>
    </row>
    <row r="16">
      <c r="A16" s="1" t="inlineStr">
        <is>
          <t>京都ダ1900m</t>
        </is>
      </c>
      <c r="B16" s="1" t="inlineStr">
        <is>
          <t>79R</t>
        </is>
      </c>
      <c r="C16" s="1" t="n">
        <v>13.5</v>
      </c>
      <c r="D16" s="1" t="inlineStr">
        <is>
          <t>+4</t>
        </is>
      </c>
      <c r="E16" s="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3"/>
  <sheetData>
    <row r="1">
      <c r="A1" s="1" t="inlineStr">
        <is>
          <t>No</t>
        </is>
      </c>
      <c r="B1" s="1" t="inlineStr">
        <is>
          <t>コース</t>
        </is>
      </c>
      <c r="C1" s="1" t="inlineStr">
        <is>
          <t>条件①</t>
        </is>
      </c>
      <c r="D1" s="1" t="inlineStr">
        <is>
          <t>条件②</t>
        </is>
      </c>
      <c r="E1" s="1" t="inlineStr">
        <is>
          <t>総成績(1-2-3-着外/総数)</t>
        </is>
      </c>
      <c r="F1" s="1" t="inlineStr">
        <is>
          <t>勝率%</t>
        </is>
      </c>
      <c r="G1" s="1" t="inlineStr">
        <is>
          <t>連対率%</t>
        </is>
      </c>
      <c r="H1" s="1" t="inlineStr">
        <is>
          <t>3着内率%</t>
        </is>
      </c>
      <c r="I1" s="1" t="inlineStr">
        <is>
          <t>単回収率%</t>
        </is>
      </c>
      <c r="J1" s="1" t="inlineStr">
        <is>
          <t>複回収率%</t>
        </is>
      </c>
      <c r="K1" s="2" t="inlineStr">
        <is>
          <t>推奨券種</t>
        </is>
      </c>
      <c r="L1" s="2" t="inlineStr">
        <is>
          <t>使用可否</t>
        </is>
      </c>
    </row>
    <row r="2">
      <c r="A2" s="1" t="inlineStr">
        <is>
          <t>045</t>
        </is>
      </c>
      <c r="B2" s="1" t="inlineStr">
        <is>
          <t>阪神芝1200m内</t>
        </is>
      </c>
      <c r="C2" s="1" t="inlineStr">
        <is>
          <t>父がストームキャット系種牡馬</t>
        </is>
      </c>
      <c r="D2" s="1" t="inlineStr">
        <is>
          <t>枠番が1～6枠</t>
        </is>
      </c>
      <c r="E2" s="1" t="inlineStr">
        <is>
          <t>3-8-7-17/35</t>
        </is>
      </c>
      <c r="F2" s="1" t="n">
        <v>8.6</v>
      </c>
      <c r="G2" s="1" t="n">
        <v>31.4</v>
      </c>
      <c r="H2" s="1" t="n">
        <v>51.4</v>
      </c>
      <c r="I2" s="1" t="n">
        <v>126</v>
      </c>
      <c r="J2" s="1" t="n">
        <v>191</v>
      </c>
      <c r="K2" s="1" t="n"/>
      <c r="L2" s="1" t="n"/>
    </row>
    <row r="3">
      <c r="A3" s="1" t="inlineStr">
        <is>
          <t>046</t>
        </is>
      </c>
      <c r="B3" s="1" t="inlineStr">
        <is>
          <t>阪神芝1400～1600m</t>
        </is>
      </c>
      <c r="C3" s="1" t="inlineStr">
        <is>
          <t>父がハービンジャー</t>
        </is>
      </c>
      <c r="D3" s="1" t="inlineStr">
        <is>
          <t>馬齢が4歳以下</t>
        </is>
      </c>
      <c r="E3" s="1" t="inlineStr">
        <is>
          <t>9-3-7-29/48</t>
        </is>
      </c>
      <c r="F3" s="1" t="n">
        <v>18.8</v>
      </c>
      <c r="G3" s="1" t="n">
        <v>25</v>
      </c>
      <c r="H3" s="1" t="n">
        <v>39.6</v>
      </c>
      <c r="I3" s="1" t="n">
        <v>327</v>
      </c>
      <c r="J3" s="1" t="n">
        <v>209</v>
      </c>
      <c r="K3" s="1" t="n"/>
      <c r="L3" s="1" t="n"/>
    </row>
    <row r="4">
      <c r="A4" s="1" t="inlineStr">
        <is>
          <t>047</t>
        </is>
      </c>
      <c r="B4" s="1" t="inlineStr">
        <is>
          <t>阪神芝1600～1800m</t>
        </is>
      </c>
      <c r="C4" s="1" t="inlineStr">
        <is>
          <t>岩田望来騎手</t>
        </is>
      </c>
      <c r="D4" s="1" t="inlineStr">
        <is>
          <t>前走馬体重480kg以上</t>
        </is>
      </c>
      <c r="E4" s="1" t="inlineStr">
        <is>
          <t>9-11-5-20/45</t>
        </is>
      </c>
      <c r="F4" s="1" t="n">
        <v>20</v>
      </c>
      <c r="G4" s="1" t="n">
        <v>44.4</v>
      </c>
      <c r="H4" s="1" t="n">
        <v>55.6</v>
      </c>
      <c r="I4" s="1" t="n">
        <v>97</v>
      </c>
      <c r="J4" s="1" t="n">
        <v>182</v>
      </c>
      <c r="K4" s="1" t="n"/>
      <c r="L4" s="1" t="n"/>
    </row>
    <row r="5">
      <c r="A5" s="1" t="inlineStr">
        <is>
          <t>048</t>
        </is>
      </c>
      <c r="B5" s="1" t="inlineStr">
        <is>
          <t>阪神芝1800m外</t>
        </is>
      </c>
      <c r="C5" s="1" t="inlineStr">
        <is>
          <t>父がロベルト系種牡馬</t>
        </is>
      </c>
      <c r="D5" s="1" t="inlineStr">
        <is>
          <t>前走10着以内</t>
        </is>
      </c>
      <c r="E5" s="1" t="inlineStr">
        <is>
          <t>10-8-14-48/80</t>
        </is>
      </c>
      <c r="F5" s="1" t="n">
        <v>12.5</v>
      </c>
      <c r="G5" s="1" t="n">
        <v>22.5</v>
      </c>
      <c r="H5" s="1" t="n">
        <v>40</v>
      </c>
      <c r="I5" s="1" t="n">
        <v>163</v>
      </c>
      <c r="J5" s="1" t="n">
        <v>162</v>
      </c>
      <c r="K5" s="1" t="n"/>
      <c r="L5" s="1" t="n"/>
    </row>
    <row r="6">
      <c r="A6" s="1" t="inlineStr">
        <is>
          <t>052</t>
        </is>
      </c>
      <c r="B6" s="1" t="inlineStr">
        <is>
          <t>阪神ダ1400～1800m</t>
        </is>
      </c>
      <c r="C6" s="1" t="inlineStr">
        <is>
          <t>父がシニスターミニスター</t>
        </is>
      </c>
      <c r="D6" s="1" t="inlineStr">
        <is>
          <t>馬番3～16＋関西馬（栗東）</t>
        </is>
      </c>
      <c r="E6" s="1" t="inlineStr">
        <is>
          <t>26-21-26-91/164</t>
        </is>
      </c>
      <c r="F6" s="1" t="n">
        <v>15.9</v>
      </c>
      <c r="G6" s="1" t="n">
        <v>28.7</v>
      </c>
      <c r="H6" s="1" t="n">
        <v>44.5</v>
      </c>
      <c r="I6" s="1" t="n">
        <v>123</v>
      </c>
      <c r="J6" s="1" t="n">
        <v>151</v>
      </c>
      <c r="K6" s="1" t="n"/>
      <c r="L6" s="1" t="n"/>
    </row>
    <row r="7">
      <c r="A7" s="1" t="inlineStr">
        <is>
          <t>053</t>
        </is>
      </c>
      <c r="B7" s="1" t="inlineStr">
        <is>
          <t>阪神ダ1400～1800m</t>
        </is>
      </c>
      <c r="C7" s="1" t="inlineStr">
        <is>
          <t>父がドレフォン</t>
        </is>
      </c>
      <c r="D7" s="1" t="inlineStr">
        <is>
          <t>前走上がり（3F順位）4位以内</t>
        </is>
      </c>
      <c r="E7" s="1" t="inlineStr">
        <is>
          <t>17-11-9-44/81</t>
        </is>
      </c>
      <c r="F7" s="1" t="n">
        <v>21</v>
      </c>
      <c r="G7" s="1" t="n">
        <v>34.6</v>
      </c>
      <c r="H7" s="1" t="n">
        <v>45.7</v>
      </c>
      <c r="I7" s="1" t="n">
        <v>101</v>
      </c>
      <c r="J7" s="1" t="n">
        <v>161</v>
      </c>
      <c r="K7" s="1" t="n"/>
      <c r="L7" s="1" t="n"/>
    </row>
    <row r="8">
      <c r="A8" s="1" t="inlineStr">
        <is>
          <t>054</t>
        </is>
      </c>
      <c r="B8" s="1" t="inlineStr">
        <is>
          <t>阪神ダ1800m</t>
        </is>
      </c>
      <c r="C8" s="1" t="inlineStr">
        <is>
          <t>父がキズナ</t>
        </is>
      </c>
      <c r="D8" s="1" t="inlineStr">
        <is>
          <t>3歳以下＋前走馬体重480kg以上</t>
        </is>
      </c>
      <c r="E8" s="1" t="inlineStr">
        <is>
          <t>11-14-8-17/50</t>
        </is>
      </c>
      <c r="F8" s="1" t="n">
        <v>22</v>
      </c>
      <c r="G8" s="1" t="n">
        <v>50</v>
      </c>
      <c r="H8" s="1" t="n">
        <v>66</v>
      </c>
      <c r="I8" s="1" t="n">
        <v>137</v>
      </c>
      <c r="J8" s="1" t="n">
        <v>192</v>
      </c>
      <c r="K8" s="1" t="n"/>
      <c r="L8" s="1" t="n"/>
    </row>
    <row r="9">
      <c r="A9" s="1" t="inlineStr">
        <is>
          <t>055</t>
        </is>
      </c>
      <c r="B9" s="1" t="inlineStr">
        <is>
          <t>阪神ダ1800～2000m</t>
        </is>
      </c>
      <c r="C9" s="1" t="inlineStr">
        <is>
          <t>武豊騎手</t>
        </is>
      </c>
      <c r="D9" s="1" t="inlineStr">
        <is>
          <t>3歳以下＋性が牡・セ</t>
        </is>
      </c>
      <c r="E9" s="1" t="inlineStr">
        <is>
          <t>7-8-3-9/27</t>
        </is>
      </c>
      <c r="F9" s="1" t="n">
        <v>25.9</v>
      </c>
      <c r="G9" s="1" t="n">
        <v>55.6</v>
      </c>
      <c r="H9" s="1" t="n">
        <v>66.7</v>
      </c>
      <c r="I9" s="1" t="n">
        <v>153</v>
      </c>
      <c r="J9" s="1" t="n">
        <v>211</v>
      </c>
      <c r="K9" s="1" t="n"/>
      <c r="L9" s="1" t="n"/>
    </row>
    <row r="10">
      <c r="A10" s="1" t="inlineStr">
        <is>
          <t>056</t>
        </is>
      </c>
      <c r="B10" s="1" t="inlineStr">
        <is>
          <t>阪神ダ1800～2000m</t>
        </is>
      </c>
      <c r="C10" s="1" t="inlineStr">
        <is>
          <t>M.デムーロ騎手</t>
        </is>
      </c>
      <c r="D10" s="1" t="inlineStr">
        <is>
          <t>3歳以下</t>
        </is>
      </c>
      <c r="E10" s="1" t="inlineStr">
        <is>
          <t>4-7-4-11/26</t>
        </is>
      </c>
      <c r="F10" s="1" t="n">
        <v>15.4</v>
      </c>
      <c r="G10" s="1" t="n">
        <v>42.3</v>
      </c>
      <c r="H10" s="1" t="n">
        <v>57.7</v>
      </c>
      <c r="I10" s="1" t="n">
        <v>31</v>
      </c>
      <c r="J10" s="1" t="n">
        <v>206</v>
      </c>
      <c r="K10" s="1" t="n"/>
      <c r="L10" s="1" t="n"/>
    </row>
    <row r="11">
      <c r="A11" s="1" t="inlineStr">
        <is>
          <t>057</t>
        </is>
      </c>
      <c r="B11" s="1" t="inlineStr">
        <is>
          <t>阪神ダ1800～2000m</t>
        </is>
      </c>
      <c r="C11" s="1" t="inlineStr">
        <is>
          <t>横山典弘騎手</t>
        </is>
      </c>
      <c r="D11" s="1" t="inlineStr">
        <is>
          <t>馬番1～10＋9頭立て以上</t>
        </is>
      </c>
      <c r="E11" s="1" t="inlineStr">
        <is>
          <t>5-6-6-24/41</t>
        </is>
      </c>
      <c r="F11" s="1" t="n">
        <v>12.2</v>
      </c>
      <c r="G11" s="1" t="n">
        <v>26.8</v>
      </c>
      <c r="H11" s="1" t="n">
        <v>41.5</v>
      </c>
      <c r="I11" s="1" t="n">
        <v>67</v>
      </c>
      <c r="J11" s="1" t="n">
        <v>155</v>
      </c>
      <c r="K11" s="1" t="n"/>
      <c r="L11" s="1" t="n"/>
    </row>
    <row r="12">
      <c r="A12" s="1" t="inlineStr">
        <is>
          <t>058</t>
        </is>
      </c>
      <c r="B12" s="1" t="inlineStr">
        <is>
          <t>阪神ダ2000m</t>
        </is>
      </c>
      <c r="C12" s="1" t="inlineStr">
        <is>
          <t>松山弘平騎手</t>
        </is>
      </c>
      <c r="D12" s="1" t="inlineStr">
        <is>
          <t>前走馬体重520kg未満</t>
        </is>
      </c>
      <c r="E12" s="1" t="inlineStr">
        <is>
          <t>5-6-4-8/23</t>
        </is>
      </c>
      <c r="F12" s="1" t="n">
        <v>21.7</v>
      </c>
      <c r="G12" s="1" t="n">
        <v>47.8</v>
      </c>
      <c r="H12" s="1" t="n">
        <v>65.2</v>
      </c>
      <c r="I12" s="1" t="n">
        <v>96</v>
      </c>
      <c r="J12" s="1" t="n">
        <v>160</v>
      </c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3"/>
  <sheetData>
    <row r="1">
      <c r="A1" s="1" t="inlineStr">
        <is>
          <t>コース</t>
        </is>
      </c>
      <c r="B1" s="1" t="inlineStr">
        <is>
          <t>集計R数</t>
        </is>
      </c>
      <c r="C1" s="1" t="inlineStr">
        <is>
          <t>平均頭数</t>
        </is>
      </c>
      <c r="D1" s="1" t="inlineStr">
        <is>
          <t>波乱指数</t>
        </is>
      </c>
      <c r="E1" s="1" t="inlineStr">
        <is>
          <t>波乱ランク</t>
        </is>
      </c>
    </row>
    <row r="2">
      <c r="A2" s="1" t="inlineStr">
        <is>
          <t>阪神芝1200m内</t>
        </is>
      </c>
      <c r="B2" s="1" t="n">
        <v>57</v>
      </c>
      <c r="C2" s="1" t="n">
        <v>13.7</v>
      </c>
      <c r="D2" s="1" t="n">
        <v>-1</v>
      </c>
      <c r="E2" s="1" t="inlineStr">
        <is>
          <t>C</t>
        </is>
      </c>
    </row>
    <row r="3">
      <c r="A3" s="1" t="inlineStr">
        <is>
          <t>阪神芝1400m内</t>
        </is>
      </c>
      <c r="B3" s="1" t="n">
        <v>85</v>
      </c>
      <c r="C3" s="1" t="n">
        <v>14.9</v>
      </c>
      <c r="D3" s="1" t="n">
        <v>-1</v>
      </c>
      <c r="E3" s="1" t="inlineStr">
        <is>
          <t>C</t>
        </is>
      </c>
    </row>
    <row r="4">
      <c r="A4" s="1" t="inlineStr">
        <is>
          <t>阪神芝1600m外</t>
        </is>
      </c>
      <c r="B4" s="1" t="n">
        <v>137</v>
      </c>
      <c r="C4" s="1" t="n">
        <v>14.4</v>
      </c>
      <c r="D4" s="1" t="n">
        <v>1</v>
      </c>
      <c r="E4" s="1" t="inlineStr">
        <is>
          <t>C</t>
        </is>
      </c>
    </row>
    <row r="5">
      <c r="A5" s="1" t="inlineStr">
        <is>
          <t>阪神芝1800m外</t>
        </is>
      </c>
      <c r="B5" s="1" t="n">
        <v>94</v>
      </c>
      <c r="C5" s="1" t="n">
        <v>13.2</v>
      </c>
      <c r="D5" s="1" t="n">
        <v>1</v>
      </c>
      <c r="E5" s="1" t="inlineStr">
        <is>
          <t>C</t>
        </is>
      </c>
    </row>
    <row r="6">
      <c r="A6" s="1" t="inlineStr">
        <is>
          <t>阪神芝2000m内</t>
        </is>
      </c>
      <c r="B6" s="1" t="n">
        <v>111</v>
      </c>
      <c r="C6" s="1" t="n">
        <v>12.4</v>
      </c>
      <c r="D6" s="1" t="n">
        <v>5</v>
      </c>
      <c r="E6" s="1" t="inlineStr">
        <is>
          <t>B</t>
        </is>
      </c>
    </row>
    <row r="7">
      <c r="A7" s="1" t="inlineStr">
        <is>
          <t>阪神芝2200m内</t>
        </is>
      </c>
      <c r="B7" s="1" t="n">
        <v>23</v>
      </c>
      <c r="C7" s="1" t="n">
        <v>13.8</v>
      </c>
      <c r="D7" s="1" t="n">
        <v>-1</v>
      </c>
      <c r="E7" s="1" t="inlineStr">
        <is>
          <t>C</t>
        </is>
      </c>
    </row>
    <row r="8">
      <c r="A8" s="1" t="inlineStr">
        <is>
          <t>阪神芝2400m外</t>
        </is>
      </c>
      <c r="B8" s="1" t="n">
        <v>45</v>
      </c>
      <c r="C8" s="1" t="n">
        <v>11.4</v>
      </c>
      <c r="D8" s="1" t="n">
        <v>5</v>
      </c>
      <c r="E8" s="1" t="inlineStr">
        <is>
          <t>B</t>
        </is>
      </c>
    </row>
    <row r="9">
      <c r="A9" s="1" t="inlineStr">
        <is>
          <t>阪神芝2600m外</t>
        </is>
      </c>
      <c r="B9" s="1" t="n">
        <v>8</v>
      </c>
      <c r="C9" s="1" t="n">
        <v>11.2</v>
      </c>
      <c r="D9" s="1" t="n">
        <v>-5</v>
      </c>
      <c r="E9" s="1" t="inlineStr">
        <is>
          <t>D</t>
        </is>
      </c>
    </row>
    <row r="10">
      <c r="A10" s="1" t="inlineStr">
        <is>
          <t>阪神芝3000m内</t>
        </is>
      </c>
      <c r="B10" s="1" t="n">
        <v>8</v>
      </c>
      <c r="C10" s="1" t="n">
        <v>13.8</v>
      </c>
      <c r="D10" s="1" t="n">
        <v>-6</v>
      </c>
      <c r="E10" s="1" t="inlineStr">
        <is>
          <t>D</t>
        </is>
      </c>
    </row>
    <row r="11">
      <c r="A11" s="1" t="inlineStr">
        <is>
          <t>阪神ダ1200m</t>
        </is>
      </c>
      <c r="B11" s="1" t="n">
        <v>159</v>
      </c>
      <c r="C11" s="1" t="n">
        <v>15.1</v>
      </c>
      <c r="D11" s="1" t="n">
        <v>-4</v>
      </c>
      <c r="E11" s="1" t="inlineStr">
        <is>
          <t>D</t>
        </is>
      </c>
    </row>
    <row r="12">
      <c r="A12" s="1" t="inlineStr">
        <is>
          <t>阪神ダ1400m</t>
        </is>
      </c>
      <c r="B12" s="1" t="n">
        <v>192</v>
      </c>
      <c r="C12" s="1" t="n">
        <v>15</v>
      </c>
      <c r="D12" s="1" t="n">
        <v>-7</v>
      </c>
      <c r="E12" s="1" t="inlineStr">
        <is>
          <t>D</t>
        </is>
      </c>
    </row>
    <row r="13">
      <c r="A13" s="1" t="inlineStr">
        <is>
          <t>阪神ダ1800m</t>
        </is>
      </c>
      <c r="B13" s="1" t="n">
        <v>314</v>
      </c>
      <c r="C13" s="1" t="n">
        <v>13</v>
      </c>
      <c r="D13" s="1" t="n">
        <v>4</v>
      </c>
      <c r="E13" s="1" t="inlineStr">
        <is>
          <t>B</t>
        </is>
      </c>
    </row>
    <row r="14">
      <c r="A14" s="1" t="inlineStr">
        <is>
          <t>阪神ダ2000m</t>
        </is>
      </c>
      <c r="B14" s="1" t="n">
        <v>49</v>
      </c>
      <c r="C14" s="1" t="n">
        <v>13.2</v>
      </c>
      <c r="D14" s="1" t="n">
        <v>14</v>
      </c>
      <c r="E14" s="1" t="inlineStr">
        <is>
          <t>A</t>
        </is>
      </c>
    </row>
    <row r="15">
      <c r="A15" s="1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4" max="14"/>
  </cols>
  <sheetData>
    <row r="1">
      <c r="A1" s="1" t="inlineStr">
        <is>
          <t>No</t>
        </is>
      </c>
      <c r="B1" s="1" t="inlineStr">
        <is>
          <t>コース</t>
        </is>
      </c>
      <c r="C1" s="1" t="inlineStr">
        <is>
          <t>条件①</t>
        </is>
      </c>
      <c r="D1" s="1" t="inlineStr">
        <is>
          <t>条件②</t>
        </is>
      </c>
      <c r="E1" s="1" t="inlineStr">
        <is>
          <t>総成績(1-2-3-着外/総数)</t>
        </is>
      </c>
      <c r="F1" s="1" t="inlineStr">
        <is>
          <t>勝率%</t>
        </is>
      </c>
      <c r="G1" s="1" t="inlineStr">
        <is>
          <t>連対率%</t>
        </is>
      </c>
      <c r="H1" s="1" t="inlineStr">
        <is>
          <t>3着内率%</t>
        </is>
      </c>
      <c r="I1" s="1" t="inlineStr">
        <is>
          <t>単回収率%</t>
        </is>
      </c>
      <c r="J1" s="1" t="inlineStr">
        <is>
          <t>複回収率%</t>
        </is>
      </c>
      <c r="K1" s="2" t="inlineStr">
        <is>
          <t>推奨券種</t>
        </is>
      </c>
      <c r="L1" s="2" t="inlineStr">
        <is>
          <t>使用可否</t>
        </is>
      </c>
      <c r="N1" t="inlineStr">
        <is>
          <t>No_一覧</t>
        </is>
      </c>
    </row>
    <row r="2">
      <c r="A2" s="1" t="inlineStr">
        <is>
          <t>1</t>
        </is>
      </c>
      <c r="B2" s="1" t="inlineStr">
        <is>
          <t>小倉芝芝1200m</t>
        </is>
      </c>
      <c r="C2" s="1" t="inlineStr">
        <is>
          <t>前走京都芝1200内</t>
        </is>
      </c>
      <c r="D2" s="1" t="inlineStr">
        <is>
          <t>4角5番手以内＋3～8枠</t>
        </is>
      </c>
      <c r="E2" s="1" t="n"/>
      <c r="F2" s="1" t="n"/>
      <c r="G2" s="1" t="n"/>
      <c r="H2" s="1" t="n">
        <v>34.8</v>
      </c>
      <c r="I2" s="1" t="n">
        <v>79</v>
      </c>
      <c r="J2" s="1" t="n">
        <v>183</v>
      </c>
      <c r="K2" s="1" t="inlineStr">
        <is>
          <t>複勝</t>
        </is>
      </c>
      <c r="L2" s="1" t="inlineStr">
        <is>
          <t>◎</t>
        </is>
      </c>
      <c r="N2" t="inlineStr">
        <is>
          <t>1</t>
        </is>
      </c>
    </row>
    <row r="3">
      <c r="A3" s="1" t="inlineStr">
        <is>
          <t>2</t>
        </is>
      </c>
      <c r="B3" s="1" t="inlineStr">
        <is>
          <t>小倉芝芝1800m</t>
        </is>
      </c>
      <c r="C3" s="1" t="inlineStr">
        <is>
          <t>父ダンジグ系</t>
        </is>
      </c>
      <c r="D3" s="1" t="inlineStr">
        <is>
          <t>関西馬＋1～12番</t>
        </is>
      </c>
      <c r="E3" s="1" t="n"/>
      <c r="F3" s="1" t="n"/>
      <c r="G3" s="1" t="n"/>
      <c r="H3" s="1" t="n">
        <v>37.3</v>
      </c>
      <c r="I3" s="1" t="n">
        <v>70</v>
      </c>
      <c r="J3" s="1" t="n">
        <v>243</v>
      </c>
      <c r="K3" s="1" t="inlineStr">
        <is>
          <t>複勝</t>
        </is>
      </c>
      <c r="L3" s="1" t="inlineStr">
        <is>
          <t>◎</t>
        </is>
      </c>
      <c r="N3" t="inlineStr">
        <is>
          <t>2</t>
        </is>
      </c>
    </row>
    <row r="4">
      <c r="A4" s="1" t="inlineStr">
        <is>
          <t>3</t>
        </is>
      </c>
      <c r="B4" s="1" t="inlineStr">
        <is>
          <t>小倉芝芝2000m</t>
        </is>
      </c>
      <c r="C4" s="1" t="inlineStr">
        <is>
          <t>父ロベルト系</t>
        </is>
      </c>
      <c r="D4" s="1" t="inlineStr">
        <is>
          <t>1～7番＋16頭以下</t>
        </is>
      </c>
      <c r="E4" s="1" t="n"/>
      <c r="F4" s="1" t="n"/>
      <c r="G4" s="1" t="n"/>
      <c r="H4" s="1" t="n">
        <v>39.6</v>
      </c>
      <c r="I4" s="1" t="n">
        <v>154</v>
      </c>
      <c r="J4" s="1" t="n">
        <v>155</v>
      </c>
      <c r="K4" s="1" t="inlineStr">
        <is>
          <t>単勝可</t>
        </is>
      </c>
      <c r="L4" s="1" t="inlineStr">
        <is>
          <t>◎</t>
        </is>
      </c>
      <c r="N4" t="inlineStr">
        <is>
          <t>3</t>
        </is>
      </c>
    </row>
    <row r="5">
      <c r="A5" s="1" t="inlineStr">
        <is>
          <t>4</t>
        </is>
      </c>
      <c r="B5" s="1" t="inlineStr">
        <is>
          <t>小倉ダダ1000m</t>
        </is>
      </c>
      <c r="C5" s="1" t="inlineStr">
        <is>
          <t>最内枠</t>
        </is>
      </c>
      <c r="D5" s="1" t="inlineStr">
        <is>
          <t>56kg以下＋関西馬</t>
        </is>
      </c>
      <c r="E5" s="1" t="n"/>
      <c r="F5" s="1" t="n"/>
      <c r="G5" s="1" t="n"/>
      <c r="H5" s="1" t="n">
        <v>48.7</v>
      </c>
      <c r="I5" s="1" t="n">
        <v>51</v>
      </c>
      <c r="J5" s="1" t="n">
        <v>159</v>
      </c>
      <c r="K5" s="1" t="inlineStr">
        <is>
          <t>複勝</t>
        </is>
      </c>
      <c r="L5" s="1" t="inlineStr">
        <is>
          <t>◎</t>
        </is>
      </c>
      <c r="N5" t="inlineStr">
        <is>
          <t>4</t>
        </is>
      </c>
    </row>
    <row r="6">
      <c r="A6" s="1" t="inlineStr">
        <is>
          <t>001</t>
        </is>
      </c>
      <c r="B6" s="1" t="inlineStr">
        <is>
          <t>東京芝1400m</t>
        </is>
      </c>
      <c r="C6" s="1" t="inlineStr">
        <is>
          <t>田辺裕信</t>
        </is>
      </c>
      <c r="D6" s="1" t="inlineStr">
        <is>
          <t>前走13着以内</t>
        </is>
      </c>
      <c r="E6" s="1" t="inlineStr">
        <is>
          <t>5-9-6-22/42</t>
        </is>
      </c>
      <c r="F6" s="1" t="n">
        <v>11.9</v>
      </c>
      <c r="G6" s="1" t="n">
        <v>33.3</v>
      </c>
      <c r="H6" s="1" t="n">
        <v>47.6</v>
      </c>
      <c r="I6" s="1" t="n">
        <v>402</v>
      </c>
      <c r="J6" s="1" t="n">
        <v>170</v>
      </c>
      <c r="K6" s="1" t="n"/>
      <c r="L6" s="1" t="n"/>
      <c r="N6" t="inlineStr">
        <is>
          <t>001</t>
        </is>
      </c>
    </row>
    <row r="7">
      <c r="A7" s="1" t="inlineStr">
        <is>
          <t>002</t>
        </is>
      </c>
      <c r="B7" s="1" t="inlineStr">
        <is>
          <t>東京芝1400m</t>
        </is>
      </c>
      <c r="C7" s="1" t="inlineStr">
        <is>
          <t>戸崎圭太</t>
        </is>
      </c>
      <c r="D7" s="1" t="inlineStr">
        <is>
          <t>中12週以内</t>
        </is>
      </c>
      <c r="E7" s="1" t="inlineStr">
        <is>
          <t>11-7-6-16/40</t>
        </is>
      </c>
      <c r="F7" s="1" t="n">
        <v>27.5</v>
      </c>
      <c r="G7" s="1" t="n">
        <v>45</v>
      </c>
      <c r="H7" s="1" t="n">
        <v>60</v>
      </c>
      <c r="I7" s="1" t="n">
        <v>219</v>
      </c>
      <c r="J7" s="1" t="n">
        <v>160</v>
      </c>
      <c r="K7" s="1" t="n"/>
      <c r="L7" s="1" t="n"/>
      <c r="N7" t="inlineStr">
        <is>
          <t>002</t>
        </is>
      </c>
    </row>
    <row r="8">
      <c r="A8" s="1" t="inlineStr">
        <is>
          <t>003</t>
        </is>
      </c>
      <c r="B8" s="1" t="inlineStr">
        <is>
          <t>東京芝1400-1600m</t>
        </is>
      </c>
      <c r="C8" s="1" t="inlineStr">
        <is>
          <t>父イスラボニータ</t>
        </is>
      </c>
      <c r="D8" s="1" t="inlineStr">
        <is>
          <t>前走8着以内</t>
        </is>
      </c>
      <c r="E8" s="1" t="inlineStr">
        <is>
          <t>13-11-10-44/78</t>
        </is>
      </c>
      <c r="F8" s="1" t="n">
        <v>16.7</v>
      </c>
      <c r="G8" s="1" t="n">
        <v>30.8</v>
      </c>
      <c r="H8" s="1" t="n">
        <v>43.6</v>
      </c>
      <c r="I8" s="1" t="n">
        <v>455</v>
      </c>
      <c r="J8" s="1" t="n">
        <v>154</v>
      </c>
      <c r="K8" s="1" t="n"/>
      <c r="L8" s="1" t="n"/>
      <c r="N8" t="inlineStr">
        <is>
          <t>003</t>
        </is>
      </c>
    </row>
    <row r="9">
      <c r="A9" s="1" t="inlineStr">
        <is>
          <t>004</t>
        </is>
      </c>
      <c r="B9" s="1" t="inlineStr">
        <is>
          <t>東京芝1600m</t>
        </is>
      </c>
      <c r="C9" s="1" t="inlineStr">
        <is>
          <t>父モーリス</t>
        </is>
      </c>
      <c r="D9" s="1" t="inlineStr">
        <is>
          <t>3歳以下</t>
        </is>
      </c>
      <c r="E9" s="1" t="inlineStr">
        <is>
          <t>11-15-14-60/100</t>
        </is>
      </c>
      <c r="F9" s="1" t="n">
        <v>11</v>
      </c>
      <c r="G9" s="1" t="n">
        <v>26</v>
      </c>
      <c r="H9" s="1" t="n">
        <v>40</v>
      </c>
      <c r="I9" s="1" t="n">
        <v>218</v>
      </c>
      <c r="J9" s="1" t="n">
        <v>156</v>
      </c>
      <c r="K9" s="1" t="n"/>
      <c r="L9" s="1" t="n"/>
      <c r="N9" t="inlineStr">
        <is>
          <t>004</t>
        </is>
      </c>
    </row>
    <row r="10">
      <c r="A10" s="1" t="inlineStr">
        <is>
          <t>005</t>
        </is>
      </c>
      <c r="B10" s="1" t="inlineStr">
        <is>
          <t>東京芝1600m</t>
        </is>
      </c>
      <c r="C10" s="1" t="inlineStr">
        <is>
          <t>父ロードカナロア</t>
        </is>
      </c>
      <c r="D10" s="1" t="inlineStr">
        <is>
          <t>前走15頭立て以上</t>
        </is>
      </c>
      <c r="E10" s="1" t="inlineStr">
        <is>
          <t>6-9-12-41/68</t>
        </is>
      </c>
      <c r="F10" s="1" t="n">
        <v>8.800000000000001</v>
      </c>
      <c r="G10" s="1" t="n">
        <v>22.1</v>
      </c>
      <c r="H10" s="1" t="n">
        <v>39.7</v>
      </c>
      <c r="I10" s="1" t="n">
        <v>19</v>
      </c>
      <c r="J10" s="1" t="n">
        <v>150</v>
      </c>
      <c r="K10" s="1" t="n"/>
      <c r="L10" s="1" t="n"/>
      <c r="N10" t="inlineStr">
        <is>
          <t>005</t>
        </is>
      </c>
    </row>
    <row r="11">
      <c r="A11" s="1" t="inlineStr">
        <is>
          <t>006</t>
        </is>
      </c>
      <c r="B11" s="1" t="inlineStr">
        <is>
          <t>東京芝1600m</t>
        </is>
      </c>
      <c r="C11" s="1" t="inlineStr">
        <is>
          <t>吉田豊</t>
        </is>
      </c>
      <c r="D11" s="1" t="inlineStr">
        <is>
          <t>中8週以内</t>
        </is>
      </c>
      <c r="E11" s="1" t="inlineStr">
        <is>
          <t>4-7-13-17/41</t>
        </is>
      </c>
      <c r="F11" s="1" t="n">
        <v>9.800000000000001</v>
      </c>
      <c r="G11" s="1" t="n">
        <v>26.8</v>
      </c>
      <c r="H11" s="1" t="n">
        <v>58.5</v>
      </c>
      <c r="I11" s="1" t="n">
        <v>74</v>
      </c>
      <c r="J11" s="1" t="n">
        <v>209</v>
      </c>
      <c r="K11" s="1" t="n"/>
      <c r="L11" s="1" t="n"/>
      <c r="N11" t="inlineStr">
        <is>
          <t>006</t>
        </is>
      </c>
    </row>
    <row r="12">
      <c r="A12" s="1" t="inlineStr">
        <is>
          <t>007</t>
        </is>
      </c>
      <c r="B12" s="1" t="inlineStr">
        <is>
          <t>東京芝1600m</t>
        </is>
      </c>
      <c r="C12" s="1" t="inlineStr">
        <is>
          <t>前走中京芝1600-2000m</t>
        </is>
      </c>
      <c r="D12" s="1" t="inlineStr">
        <is>
          <t>前走馬体重450kg以上</t>
        </is>
      </c>
      <c r="E12" s="1" t="inlineStr">
        <is>
          <t>7-6-10-38/61</t>
        </is>
      </c>
      <c r="F12" s="1" t="n">
        <v>11.5</v>
      </c>
      <c r="G12" s="1" t="n">
        <v>21.3</v>
      </c>
      <c r="H12" s="1" t="n">
        <v>37.7</v>
      </c>
      <c r="I12" s="1" t="n">
        <v>217</v>
      </c>
      <c r="J12" s="1" t="n">
        <v>178</v>
      </c>
      <c r="K12" s="1" t="n"/>
      <c r="L12" s="1" t="n"/>
      <c r="N12" t="inlineStr">
        <is>
          <t>007</t>
        </is>
      </c>
    </row>
    <row r="13">
      <c r="A13" s="1" t="inlineStr">
        <is>
          <t>008</t>
        </is>
      </c>
      <c r="B13" s="1" t="inlineStr">
        <is>
          <t>東京芝1800-2000m</t>
        </is>
      </c>
      <c r="C13" s="1" t="inlineStr">
        <is>
          <t>父キズナ</t>
        </is>
      </c>
      <c r="D13" s="1" t="inlineStr">
        <is>
          <t>14頭立て以下+4歳以下</t>
        </is>
      </c>
      <c r="E13" s="1" t="inlineStr">
        <is>
          <t>13-13-11-39/76</t>
        </is>
      </c>
      <c r="F13" s="1" t="n">
        <v>17.1</v>
      </c>
      <c r="G13" s="1" t="n">
        <v>34.2</v>
      </c>
      <c r="H13" s="1" t="n">
        <v>48.7</v>
      </c>
      <c r="I13" s="1" t="n">
        <v>69</v>
      </c>
      <c r="J13" s="1" t="n">
        <v>151</v>
      </c>
      <c r="K13" s="1" t="n"/>
      <c r="L13" s="1" t="n"/>
      <c r="N13" t="inlineStr">
        <is>
          <t>008</t>
        </is>
      </c>
    </row>
    <row r="14">
      <c r="A14" s="1" t="inlineStr">
        <is>
          <t>009</t>
        </is>
      </c>
      <c r="B14" s="1" t="inlineStr">
        <is>
          <t>東京芝2000m</t>
        </is>
      </c>
      <c r="C14" s="1" t="inlineStr">
        <is>
          <t>北村宏司+1-7番</t>
        </is>
      </c>
      <c r="D14" s="1" t="inlineStr">
        <is>
          <t>出走16頭以下</t>
        </is>
      </c>
      <c r="E14" s="1" t="inlineStr">
        <is>
          <t>7-3-7-16/33</t>
        </is>
      </c>
      <c r="F14" s="1" t="n">
        <v>21.2</v>
      </c>
      <c r="G14" s="1" t="n">
        <v>30.3</v>
      </c>
      <c r="H14" s="1" t="n">
        <v>51.5</v>
      </c>
      <c r="I14" s="1" t="n">
        <v>87</v>
      </c>
      <c r="J14" s="1" t="n">
        <v>200</v>
      </c>
      <c r="K14" s="1" t="n"/>
      <c r="L14" s="1" t="n"/>
      <c r="N14" t="inlineStr">
        <is>
          <t>009</t>
        </is>
      </c>
    </row>
    <row r="15">
      <c r="A15" s="1" t="inlineStr">
        <is>
          <t>010</t>
        </is>
      </c>
      <c r="B15" s="1" t="inlineStr">
        <is>
          <t>東京芝2400-3400m</t>
        </is>
      </c>
      <c r="C15" s="1" t="inlineStr">
        <is>
          <t>父キングカメハメハ系+5-8枠</t>
        </is>
      </c>
      <c r="D15" s="1" t="inlineStr">
        <is>
          <t>13頭立て以下</t>
        </is>
      </c>
      <c r="E15" s="1" t="inlineStr">
        <is>
          <t>17-19-9-43/88</t>
        </is>
      </c>
      <c r="F15" s="1" t="n">
        <v>19.3</v>
      </c>
      <c r="G15" s="1" t="n">
        <v>40.9</v>
      </c>
      <c r="H15" s="1" t="n">
        <v>51.1</v>
      </c>
      <c r="I15" s="1" t="n">
        <v>64</v>
      </c>
      <c r="J15" s="1" t="n">
        <v>164</v>
      </c>
      <c r="K15" s="1" t="n"/>
      <c r="L15" s="1" t="n"/>
      <c r="N15" t="inlineStr">
        <is>
          <t>010</t>
        </is>
      </c>
    </row>
    <row r="16">
      <c r="A16" s="1" t="inlineStr">
        <is>
          <t>011</t>
        </is>
      </c>
      <c r="B16" s="1" t="inlineStr">
        <is>
          <t>東京ダ1300m</t>
        </is>
      </c>
      <c r="C16" s="1" t="inlineStr">
        <is>
          <t>前走上がり2位以内+470kg以上</t>
        </is>
      </c>
      <c r="D16" s="1" t="inlineStr">
        <is>
          <t>中7週以内</t>
        </is>
      </c>
      <c r="E16" s="1" t="inlineStr">
        <is>
          <t>9-7-7-36/59</t>
        </is>
      </c>
      <c r="F16" s="1" t="n">
        <v>15.3</v>
      </c>
      <c r="G16" s="1" t="n">
        <v>27.1</v>
      </c>
      <c r="H16" s="1" t="n">
        <v>39</v>
      </c>
      <c r="I16" s="1" t="n">
        <v>221</v>
      </c>
      <c r="J16" s="1" t="n">
        <v>192</v>
      </c>
      <c r="K16" s="1" t="n"/>
      <c r="L16" s="1" t="n"/>
      <c r="N16" t="inlineStr">
        <is>
          <t>011</t>
        </is>
      </c>
    </row>
    <row r="17">
      <c r="A17" s="1" t="inlineStr">
        <is>
          <t>012</t>
        </is>
      </c>
      <c r="B17" s="1" t="inlineStr">
        <is>
          <t>東京ダ1400m</t>
        </is>
      </c>
      <c r="C17" s="1" t="inlineStr">
        <is>
          <t>父ロードカナロア+4角5番手以内</t>
        </is>
      </c>
      <c r="D17" s="1" t="inlineStr">
        <is>
          <t>牡セン</t>
        </is>
      </c>
      <c r="E17" s="1" t="inlineStr">
        <is>
          <t>9-12-5-15/41</t>
        </is>
      </c>
      <c r="F17" s="1" t="n">
        <v>22</v>
      </c>
      <c r="G17" s="1" t="n">
        <v>51.2</v>
      </c>
      <c r="H17" s="1" t="n">
        <v>63.4</v>
      </c>
      <c r="I17" s="1" t="n">
        <v>152</v>
      </c>
      <c r="J17" s="1" t="n">
        <v>150</v>
      </c>
      <c r="K17" s="1" t="n"/>
      <c r="L17" s="1" t="n"/>
      <c r="N17" t="inlineStr">
        <is>
          <t>012</t>
        </is>
      </c>
    </row>
    <row r="18">
      <c r="A18" s="1" t="inlineStr">
        <is>
          <t>013</t>
        </is>
      </c>
      <c r="B18" s="1" t="inlineStr">
        <is>
          <t>東京ダ1600m</t>
        </is>
      </c>
      <c r="C18" s="1" t="inlineStr">
        <is>
          <t>父キタサンブラック+前走10着以内</t>
        </is>
      </c>
      <c r="D18" s="1" t="inlineStr">
        <is>
          <t>5歳以下</t>
        </is>
      </c>
      <c r="E18" s="1" t="inlineStr">
        <is>
          <t>8-1-8-4/21</t>
        </is>
      </c>
      <c r="F18" s="1" t="n">
        <v>38.1</v>
      </c>
      <c r="G18" s="1" t="n">
        <v>42.9</v>
      </c>
      <c r="H18" s="1" t="n">
        <v>81</v>
      </c>
      <c r="I18" s="1" t="n">
        <v>178</v>
      </c>
      <c r="J18" s="1" t="n">
        <v>185</v>
      </c>
      <c r="K18" s="1" t="n"/>
      <c r="L18" s="1" t="n"/>
      <c r="N18" t="inlineStr">
        <is>
          <t>013</t>
        </is>
      </c>
    </row>
    <row r="19">
      <c r="A19" s="1" t="inlineStr">
        <is>
          <t>014</t>
        </is>
      </c>
      <c r="B19" s="1" t="inlineStr">
        <is>
          <t>東京ダ1600m</t>
        </is>
      </c>
      <c r="C19" s="1" t="inlineStr">
        <is>
          <t>父ヘニーヒューズ+牡セン</t>
        </is>
      </c>
      <c r="D19" s="1" t="inlineStr">
        <is>
          <t>前走同頭数超</t>
        </is>
      </c>
      <c r="E19" s="1" t="inlineStr">
        <is>
          <t>5-10-9-18/42</t>
        </is>
      </c>
      <c r="F19" s="1" t="n">
        <v>11.9</v>
      </c>
      <c r="G19" s="1" t="n">
        <v>35.7</v>
      </c>
      <c r="H19" s="1" t="n">
        <v>57.1</v>
      </c>
      <c r="I19" s="1" t="n">
        <v>43</v>
      </c>
      <c r="J19" s="1" t="n">
        <v>178</v>
      </c>
      <c r="K19" s="1" t="n"/>
      <c r="L19" s="1" t="n"/>
      <c r="N19" t="inlineStr">
        <is>
          <t>014</t>
        </is>
      </c>
    </row>
    <row r="20">
      <c r="A20" s="1" t="inlineStr">
        <is>
          <t>015</t>
        </is>
      </c>
      <c r="B20" s="1" t="inlineStr">
        <is>
          <t>東京ダ1600m</t>
        </is>
      </c>
      <c r="C20" s="1" t="inlineStr">
        <is>
          <t>前走中京ダ1400m+牡セン</t>
        </is>
      </c>
      <c r="D20" s="1" t="inlineStr">
        <is>
          <t>前走8着以内</t>
        </is>
      </c>
      <c r="E20" s="1" t="inlineStr">
        <is>
          <t>3-10-6-34/53</t>
        </is>
      </c>
      <c r="F20" s="1" t="n">
        <v>5.7</v>
      </c>
      <c r="G20" s="1" t="n">
        <v>24.5</v>
      </c>
      <c r="H20" s="1" t="n">
        <v>35.8</v>
      </c>
      <c r="I20" s="1" t="n">
        <v>32</v>
      </c>
      <c r="J20" s="1" t="n">
        <v>164</v>
      </c>
      <c r="K20" s="1" t="n"/>
      <c r="L20" s="1" t="n"/>
      <c r="N20" t="inlineStr">
        <is>
          <t>015</t>
        </is>
      </c>
    </row>
    <row r="21">
      <c r="A21" s="1" t="inlineStr">
        <is>
          <t>016</t>
        </is>
      </c>
      <c r="B21" s="1" t="inlineStr">
        <is>
          <t>東京ダ2100m</t>
        </is>
      </c>
      <c r="C21" s="1" t="inlineStr">
        <is>
          <t>C.ルメール+父母父ミスプロ系以外</t>
        </is>
      </c>
      <c r="D21" s="1" t="inlineStr">
        <is>
          <t>牡セン</t>
        </is>
      </c>
      <c r="E21" s="1" t="inlineStr">
        <is>
          <t>8-4-2-2/16</t>
        </is>
      </c>
      <c r="F21" s="1" t="n">
        <v>50</v>
      </c>
      <c r="G21" s="1" t="n">
        <v>75</v>
      </c>
      <c r="H21" s="1" t="n">
        <v>87.5</v>
      </c>
      <c r="I21" s="1" t="n">
        <v>153</v>
      </c>
      <c r="J21" s="1" t="n">
        <v>164</v>
      </c>
      <c r="K21" s="1" t="n"/>
      <c r="L21" s="1" t="n"/>
      <c r="N21" t="inlineStr">
        <is>
          <t>016</t>
        </is>
      </c>
    </row>
    <row r="22">
      <c r="A22" s="1" t="inlineStr">
        <is>
          <t>031</t>
        </is>
      </c>
      <c r="B22" s="1" t="inlineStr">
        <is>
          <t>京都芝1200m内</t>
        </is>
      </c>
      <c r="C22" s="1" t="inlineStr">
        <is>
          <t>前走4角1番手</t>
        </is>
      </c>
      <c r="D22" s="1" t="inlineStr">
        <is>
          <t>3歳以上</t>
        </is>
      </c>
      <c r="E22" s="1" t="inlineStr">
        <is>
          <t>12-9-5-44/70</t>
        </is>
      </c>
      <c r="F22" s="1" t="n">
        <v>17.1</v>
      </c>
      <c r="G22" s="1" t="n">
        <v>30</v>
      </c>
      <c r="H22" s="1" t="n">
        <v>37.1</v>
      </c>
      <c r="I22" s="1" t="n">
        <v>141</v>
      </c>
      <c r="J22" s="1" t="n">
        <v>168</v>
      </c>
      <c r="K22" s="1" t="n"/>
      <c r="L22" s="1" t="n"/>
      <c r="N22" t="inlineStr">
        <is>
          <t>031</t>
        </is>
      </c>
    </row>
    <row r="23">
      <c r="A23" s="1" t="inlineStr">
        <is>
          <t>032</t>
        </is>
      </c>
      <c r="B23" s="1" t="inlineStr">
        <is>
          <t>京都芝1200-1400m内</t>
        </is>
      </c>
      <c r="C23" s="1" t="inlineStr">
        <is>
          <t>西村淳也+4歳以下</t>
        </is>
      </c>
      <c r="D23" s="1" t="n"/>
      <c r="E23" s="1" t="inlineStr">
        <is>
          <t>2-4-10-17/33</t>
        </is>
      </c>
      <c r="F23" s="1" t="n">
        <v>6.1</v>
      </c>
      <c r="G23" s="1" t="n">
        <v>18.2</v>
      </c>
      <c r="H23" s="1" t="n">
        <v>48.5</v>
      </c>
      <c r="I23" s="1" t="n">
        <v>21</v>
      </c>
      <c r="J23" s="1" t="n">
        <v>162</v>
      </c>
      <c r="K23" s="1" t="n"/>
      <c r="L23" s="1" t="n"/>
      <c r="N23" t="inlineStr">
        <is>
          <t>032</t>
        </is>
      </c>
    </row>
    <row r="24">
      <c r="A24" s="1" t="inlineStr">
        <is>
          <t>033</t>
        </is>
      </c>
      <c r="B24" s="1" t="inlineStr">
        <is>
          <t>京都芝1400m外</t>
        </is>
      </c>
      <c r="C24" s="1" t="inlineStr">
        <is>
          <t>前走4角1番手</t>
        </is>
      </c>
      <c r="D24" s="1" t="inlineStr">
        <is>
          <t>前走同距離以上+4歳以下</t>
        </is>
      </c>
      <c r="E24" s="1" t="inlineStr">
        <is>
          <t>7-5-6-25/43</t>
        </is>
      </c>
      <c r="F24" s="1" t="n">
        <v>16.3</v>
      </c>
      <c r="G24" s="1" t="n">
        <v>27.9</v>
      </c>
      <c r="H24" s="1" t="n">
        <v>41.9</v>
      </c>
      <c r="I24" s="1" t="n">
        <v>215</v>
      </c>
      <c r="J24" s="1" t="n">
        <v>166</v>
      </c>
      <c r="K24" s="1" t="n"/>
      <c r="L24" s="1" t="n"/>
      <c r="N24" t="inlineStr">
        <is>
          <t>033</t>
        </is>
      </c>
    </row>
    <row r="25">
      <c r="A25" s="1" t="inlineStr">
        <is>
          <t>034</t>
        </is>
      </c>
      <c r="B25" s="1" t="inlineStr">
        <is>
          <t>京都芝1600-1800m</t>
        </is>
      </c>
      <c r="C25" s="1" t="inlineStr">
        <is>
          <t>西村淳也</t>
        </is>
      </c>
      <c r="D25" s="1" t="inlineStr">
        <is>
          <t>14頭立て以下</t>
        </is>
      </c>
      <c r="E25" s="1" t="inlineStr">
        <is>
          <t>10-18-15-24/67</t>
        </is>
      </c>
      <c r="F25" s="1" t="n">
        <v>14.9</v>
      </c>
      <c r="G25" s="1" t="n">
        <v>41.8</v>
      </c>
      <c r="H25" s="1" t="n">
        <v>64.2</v>
      </c>
      <c r="I25" s="1" t="n">
        <v>61</v>
      </c>
      <c r="J25" s="1" t="n">
        <v>153</v>
      </c>
      <c r="K25" s="1" t="n"/>
      <c r="L25" s="1" t="n"/>
      <c r="N25" t="inlineStr">
        <is>
          <t>034</t>
        </is>
      </c>
    </row>
    <row r="26">
      <c r="A26" s="1" t="inlineStr">
        <is>
          <t>035</t>
        </is>
      </c>
      <c r="B26" s="1" t="inlineStr">
        <is>
          <t>京都芝1600m外</t>
        </is>
      </c>
      <c r="C26" s="1" t="inlineStr">
        <is>
          <t>14-18番+450kg以上</t>
        </is>
      </c>
      <c r="D26" s="1" t="inlineStr">
        <is>
          <t>4歳以下</t>
        </is>
      </c>
      <c r="E26" s="1" t="inlineStr">
        <is>
          <t>8-5-7-39/59</t>
        </is>
      </c>
      <c r="F26" s="1" t="n">
        <v>13.6</v>
      </c>
      <c r="G26" s="1" t="n">
        <v>22</v>
      </c>
      <c r="H26" s="1" t="n">
        <v>33.9</v>
      </c>
      <c r="I26" s="1" t="n">
        <v>343</v>
      </c>
      <c r="J26" s="1" t="n">
        <v>246</v>
      </c>
      <c r="K26" s="1" t="n"/>
      <c r="L26" s="1" t="n"/>
      <c r="N26" t="inlineStr">
        <is>
          <t>035</t>
        </is>
      </c>
    </row>
    <row r="27">
      <c r="A27" s="1" t="inlineStr">
        <is>
          <t>036</t>
        </is>
      </c>
      <c r="B27" s="1" t="inlineStr">
        <is>
          <t>京都芝1800m外</t>
        </is>
      </c>
      <c r="C27" s="1" t="inlineStr">
        <is>
          <t>父グラスワンダー系</t>
        </is>
      </c>
      <c r="D27" s="1" t="inlineStr">
        <is>
          <t>前走12着以内</t>
        </is>
      </c>
      <c r="E27" s="1" t="inlineStr">
        <is>
          <t>5-10-3-24/42</t>
        </is>
      </c>
      <c r="F27" s="1" t="n">
        <v>11.9</v>
      </c>
      <c r="G27" s="1" t="n">
        <v>35.7</v>
      </c>
      <c r="H27" s="1" t="n">
        <v>42.9</v>
      </c>
      <c r="I27" s="1" t="n">
        <v>79</v>
      </c>
      <c r="J27" s="1" t="n">
        <v>277</v>
      </c>
      <c r="K27" s="1" t="n"/>
      <c r="L27" s="1" t="n"/>
      <c r="N27" t="inlineStr">
        <is>
          <t>036</t>
        </is>
      </c>
    </row>
    <row r="28">
      <c r="A28" s="1" t="inlineStr">
        <is>
          <t>037</t>
        </is>
      </c>
      <c r="B28" s="1" t="inlineStr">
        <is>
          <t>京都芝2200m外</t>
        </is>
      </c>
      <c r="C28" s="1" t="inlineStr">
        <is>
          <t>川田将雅+関西馬</t>
        </is>
      </c>
      <c r="D28" s="1" t="n"/>
      <c r="E28" s="1" t="inlineStr">
        <is>
          <t>6-3-5-2/16</t>
        </is>
      </c>
      <c r="F28" s="1" t="n">
        <v>37.5</v>
      </c>
      <c r="G28" s="1" t="n">
        <v>56.3</v>
      </c>
      <c r="H28" s="1" t="n">
        <v>87.5</v>
      </c>
      <c r="I28" s="1" t="n">
        <v>168</v>
      </c>
      <c r="J28" s="1" t="n">
        <v>190</v>
      </c>
      <c r="K28" s="1" t="n"/>
      <c r="L28" s="1" t="n"/>
      <c r="N28" t="inlineStr">
        <is>
          <t>037</t>
        </is>
      </c>
    </row>
    <row r="29">
      <c r="A29" s="1" t="inlineStr">
        <is>
          <t>038</t>
        </is>
      </c>
      <c r="B29" s="1" t="inlineStr">
        <is>
          <t>京都芝2400-3000m</t>
        </is>
      </c>
      <c r="C29" s="1" t="inlineStr">
        <is>
          <t>前走上がり2位以内</t>
        </is>
      </c>
      <c r="D29" s="1" t="inlineStr">
        <is>
          <t>前走同頭数以上</t>
        </is>
      </c>
      <c r="E29" s="1" t="inlineStr">
        <is>
          <t>10-12-9-27/58</t>
        </is>
      </c>
      <c r="F29" s="1" t="n">
        <v>17.2</v>
      </c>
      <c r="G29" s="1" t="n">
        <v>37.9</v>
      </c>
      <c r="H29" s="1" t="n">
        <v>53.4</v>
      </c>
      <c r="I29" s="1" t="n">
        <v>70</v>
      </c>
      <c r="J29" s="1" t="n">
        <v>171</v>
      </c>
      <c r="K29" s="1" t="n"/>
      <c r="L29" s="1" t="n"/>
      <c r="N29" t="inlineStr">
        <is>
          <t>038</t>
        </is>
      </c>
    </row>
    <row r="30">
      <c r="A30" s="1" t="inlineStr">
        <is>
          <t>039</t>
        </is>
      </c>
      <c r="B30" s="1" t="inlineStr">
        <is>
          <t>京都ダ1200m</t>
        </is>
      </c>
      <c r="C30" s="1" t="inlineStr">
        <is>
          <t>父ドレフォン+前走4着以内</t>
        </is>
      </c>
      <c r="D30" s="1" t="inlineStr">
        <is>
          <t>中8週以内</t>
        </is>
      </c>
      <c r="E30" s="1" t="inlineStr">
        <is>
          <t>5-9-4-18/36</t>
        </is>
      </c>
      <c r="F30" s="1" t="n">
        <v>13.9</v>
      </c>
      <c r="G30" s="1" t="n">
        <v>38.9</v>
      </c>
      <c r="H30" s="1" t="n">
        <v>50</v>
      </c>
      <c r="I30" s="1" t="n">
        <v>78</v>
      </c>
      <c r="J30" s="1" t="n">
        <v>175</v>
      </c>
      <c r="K30" s="1" t="n"/>
      <c r="L30" s="1" t="n"/>
      <c r="N30" t="inlineStr">
        <is>
          <t>039</t>
        </is>
      </c>
    </row>
    <row r="31">
      <c r="A31" s="1" t="inlineStr">
        <is>
          <t>040</t>
        </is>
      </c>
      <c r="B31" s="1" t="inlineStr">
        <is>
          <t>京都ダ1400m</t>
        </is>
      </c>
      <c r="C31" s="1" t="inlineStr">
        <is>
          <t>坂井瑠星+1-9番+牡セン</t>
        </is>
      </c>
      <c r="D31" s="1" t="n"/>
      <c r="E31" s="1" t="inlineStr">
        <is>
          <t>11-5-5-13/34</t>
        </is>
      </c>
      <c r="F31" s="1" t="n">
        <v>32.4</v>
      </c>
      <c r="G31" s="1" t="n">
        <v>47.1</v>
      </c>
      <c r="H31" s="1" t="n">
        <v>61.8</v>
      </c>
      <c r="I31" s="1" t="n">
        <v>158</v>
      </c>
      <c r="J31" s="1" t="n">
        <v>160</v>
      </c>
      <c r="K31" s="1" t="n"/>
      <c r="L31" s="1" t="n"/>
      <c r="N31" t="inlineStr">
        <is>
          <t>040</t>
        </is>
      </c>
    </row>
    <row r="32">
      <c r="A32" s="1" t="inlineStr">
        <is>
          <t>041</t>
        </is>
      </c>
      <c r="B32" s="1" t="inlineStr">
        <is>
          <t>京都ダ1400-1800m</t>
        </is>
      </c>
      <c r="C32" s="1" t="inlineStr">
        <is>
          <t>高杉史麒+前走ダ</t>
        </is>
      </c>
      <c r="D32" s="1" t="inlineStr">
        <is>
          <t>出走13頭以上</t>
        </is>
      </c>
      <c r="E32" s="1" t="inlineStr">
        <is>
          <t>9-10-6-45/70</t>
        </is>
      </c>
      <c r="F32" s="1" t="n">
        <v>12.9</v>
      </c>
      <c r="G32" s="1" t="n">
        <v>27.1</v>
      </c>
      <c r="H32" s="1" t="n">
        <v>35.7</v>
      </c>
      <c r="I32" s="1" t="n">
        <v>176</v>
      </c>
      <c r="J32" s="1" t="n">
        <v>223</v>
      </c>
      <c r="K32" s="1" t="n"/>
      <c r="L32" s="1" t="n"/>
      <c r="N32" t="inlineStr">
        <is>
          <t>041</t>
        </is>
      </c>
    </row>
    <row r="33">
      <c r="A33" s="1" t="inlineStr">
        <is>
          <t>042</t>
        </is>
      </c>
      <c r="B33" s="1" t="inlineStr">
        <is>
          <t>京都ダ1800m</t>
        </is>
      </c>
      <c r="C33" s="1" t="inlineStr">
        <is>
          <t>父シニスターミニスター+4歳以下</t>
        </is>
      </c>
      <c r="D33" s="1" t="n"/>
      <c r="E33" s="1" t="inlineStr">
        <is>
          <t>25-18-7-63/113</t>
        </is>
      </c>
      <c r="F33" s="1" t="n">
        <v>22.1</v>
      </c>
      <c r="G33" s="1" t="n">
        <v>38.1</v>
      </c>
      <c r="H33" s="1" t="n">
        <v>44.2</v>
      </c>
      <c r="I33" s="1" t="n">
        <v>148</v>
      </c>
      <c r="J33" s="1" t="n">
        <v>151</v>
      </c>
      <c r="K33" s="1" t="n"/>
      <c r="L33" s="1" t="n"/>
      <c r="N33" t="inlineStr">
        <is>
          <t>042</t>
        </is>
      </c>
    </row>
    <row r="34">
      <c r="A34" s="1" t="inlineStr">
        <is>
          <t>043</t>
        </is>
      </c>
      <c r="B34" s="1" t="inlineStr">
        <is>
          <t>京都ダ1800-1900m</t>
        </is>
      </c>
      <c r="C34" s="1" t="inlineStr">
        <is>
          <t>鮫島克駿+480kg以上+前走8着以内</t>
        </is>
      </c>
      <c r="D34" s="1" t="n"/>
      <c r="E34" s="1" t="inlineStr">
        <is>
          <t>3-9-13-28/53</t>
        </is>
      </c>
      <c r="F34" s="1" t="n">
        <v>5.7</v>
      </c>
      <c r="G34" s="1" t="n">
        <v>22.6</v>
      </c>
      <c r="H34" s="1" t="n">
        <v>47.2</v>
      </c>
      <c r="I34" s="1" t="n">
        <v>29</v>
      </c>
      <c r="J34" s="1" t="n">
        <v>175</v>
      </c>
      <c r="K34" s="1" t="n"/>
      <c r="L34" s="1" t="n"/>
      <c r="N34" t="inlineStr">
        <is>
          <t>043</t>
        </is>
      </c>
    </row>
    <row r="35">
      <c r="A35" s="1" t="inlineStr">
        <is>
          <t>044</t>
        </is>
      </c>
      <c r="B35" s="1" t="inlineStr">
        <is>
          <t>京都ダ1800-1900m</t>
        </is>
      </c>
      <c r="C35" s="1" t="inlineStr">
        <is>
          <t>田口貫太+4角2番手以内+450kg以上</t>
        </is>
      </c>
      <c r="D35" s="1" t="n"/>
      <c r="E35" s="1" t="inlineStr">
        <is>
          <t>4-10-10-30/54</t>
        </is>
      </c>
      <c r="F35" s="1" t="n">
        <v>7.4</v>
      </c>
      <c r="G35" s="1" t="n">
        <v>25.9</v>
      </c>
      <c r="H35" s="1" t="n">
        <v>44.4</v>
      </c>
      <c r="I35" s="1" t="n">
        <v>396</v>
      </c>
      <c r="J35" s="1" t="n">
        <v>218</v>
      </c>
      <c r="K35" s="1" t="n"/>
      <c r="L35" s="1" t="n"/>
      <c r="N35" t="inlineStr">
        <is>
          <t>044</t>
        </is>
      </c>
    </row>
    <row r="36">
      <c r="A36" s="1" t="inlineStr">
        <is>
          <t>045</t>
        </is>
      </c>
      <c r="B36" s="1" t="inlineStr">
        <is>
          <t>阪神芝1200m内</t>
        </is>
      </c>
      <c r="C36" s="1" t="inlineStr">
        <is>
          <t>父がストームキャット系種牡馬</t>
        </is>
      </c>
      <c r="D36" s="1" t="inlineStr">
        <is>
          <t>枠番が1～6枠</t>
        </is>
      </c>
      <c r="E36" s="1" t="inlineStr">
        <is>
          <t>3-8-7-17/35</t>
        </is>
      </c>
      <c r="F36" s="1" t="n">
        <v>8.6</v>
      </c>
      <c r="G36" s="1" t="n">
        <v>31.4</v>
      </c>
      <c r="H36" s="1" t="n">
        <v>51.4</v>
      </c>
      <c r="I36" s="1" t="n">
        <v>126</v>
      </c>
      <c r="J36" s="1" t="n">
        <v>191</v>
      </c>
      <c r="K36" s="1" t="n"/>
      <c r="L36" s="1" t="n"/>
      <c r="N36" t="inlineStr">
        <is>
          <t>045</t>
        </is>
      </c>
    </row>
    <row r="37">
      <c r="A37" s="1" t="inlineStr">
        <is>
          <t>046</t>
        </is>
      </c>
      <c r="B37" s="1" t="inlineStr">
        <is>
          <t>阪神芝1400～1600m</t>
        </is>
      </c>
      <c r="C37" s="1" t="inlineStr">
        <is>
          <t>父がハービンジャー</t>
        </is>
      </c>
      <c r="D37" s="1" t="inlineStr">
        <is>
          <t>馬齢が4歳以下</t>
        </is>
      </c>
      <c r="E37" s="1" t="inlineStr">
        <is>
          <t>9-3-7-29/48</t>
        </is>
      </c>
      <c r="F37" s="1" t="n">
        <v>18.8</v>
      </c>
      <c r="G37" s="1" t="n">
        <v>25</v>
      </c>
      <c r="H37" s="1" t="n">
        <v>39.6</v>
      </c>
      <c r="I37" s="1" t="n">
        <v>327</v>
      </c>
      <c r="J37" s="1" t="n">
        <v>209</v>
      </c>
      <c r="K37" s="1" t="n"/>
      <c r="L37" s="1" t="n"/>
      <c r="N37" t="inlineStr">
        <is>
          <t>046</t>
        </is>
      </c>
    </row>
    <row r="38">
      <c r="A38" s="1" t="inlineStr">
        <is>
          <t>047</t>
        </is>
      </c>
      <c r="B38" s="1" t="inlineStr">
        <is>
          <t>阪神芝1600～1800m</t>
        </is>
      </c>
      <c r="C38" s="1" t="inlineStr">
        <is>
          <t>岩田望来騎手</t>
        </is>
      </c>
      <c r="D38" s="1" t="inlineStr">
        <is>
          <t>前走馬体重480kg以上</t>
        </is>
      </c>
      <c r="E38" s="1" t="inlineStr">
        <is>
          <t>9-11-5-20/45</t>
        </is>
      </c>
      <c r="F38" s="1" t="n">
        <v>20</v>
      </c>
      <c r="G38" s="1" t="n">
        <v>44.4</v>
      </c>
      <c r="H38" s="1" t="n">
        <v>55.6</v>
      </c>
      <c r="I38" s="1" t="n">
        <v>97</v>
      </c>
      <c r="J38" s="1" t="n">
        <v>182</v>
      </c>
      <c r="K38" s="1" t="n"/>
      <c r="L38" s="1" t="n"/>
      <c r="N38" t="inlineStr">
        <is>
          <t>047</t>
        </is>
      </c>
    </row>
    <row r="39">
      <c r="A39" s="1" t="inlineStr">
        <is>
          <t>048</t>
        </is>
      </c>
      <c r="B39" s="1" t="inlineStr">
        <is>
          <t>阪神芝1800m外</t>
        </is>
      </c>
      <c r="C39" s="1" t="inlineStr">
        <is>
          <t>父がロベルト系種牡馬</t>
        </is>
      </c>
      <c r="D39" s="1" t="inlineStr">
        <is>
          <t>前走10着以内</t>
        </is>
      </c>
      <c r="E39" s="1" t="inlineStr">
        <is>
          <t>10-8-14-48/80</t>
        </is>
      </c>
      <c r="F39" s="1" t="n">
        <v>12.5</v>
      </c>
      <c r="G39" s="1" t="n">
        <v>22.5</v>
      </c>
      <c r="H39" s="1" t="n">
        <v>40</v>
      </c>
      <c r="I39" s="1" t="n">
        <v>163</v>
      </c>
      <c r="J39" s="1" t="n">
        <v>162</v>
      </c>
      <c r="K39" s="1" t="n"/>
      <c r="L39" s="1" t="n"/>
      <c r="N39" t="inlineStr">
        <is>
          <t>048</t>
        </is>
      </c>
    </row>
    <row r="40">
      <c r="A40" s="1" t="inlineStr">
        <is>
          <t>052</t>
        </is>
      </c>
      <c r="B40" s="1" t="inlineStr">
        <is>
          <t>阪神ダ1400～1800m</t>
        </is>
      </c>
      <c r="C40" s="1" t="inlineStr">
        <is>
          <t>父がシニスターミニスター</t>
        </is>
      </c>
      <c r="D40" s="1" t="inlineStr">
        <is>
          <t>馬番3～16＋関西馬（栗東）</t>
        </is>
      </c>
      <c r="E40" s="1" t="inlineStr">
        <is>
          <t>26-21-26-91/164</t>
        </is>
      </c>
      <c r="F40" s="1" t="n">
        <v>15.9</v>
      </c>
      <c r="G40" s="1" t="n">
        <v>28.7</v>
      </c>
      <c r="H40" s="1" t="n">
        <v>44.5</v>
      </c>
      <c r="I40" s="1" t="n">
        <v>123</v>
      </c>
      <c r="J40" s="1" t="n">
        <v>151</v>
      </c>
      <c r="K40" s="1" t="n"/>
      <c r="L40" s="1" t="n"/>
      <c r="N40" t="inlineStr">
        <is>
          <t>052</t>
        </is>
      </c>
    </row>
    <row r="41">
      <c r="A41" s="1" t="inlineStr">
        <is>
          <t>053</t>
        </is>
      </c>
      <c r="B41" s="1" t="inlineStr">
        <is>
          <t>阪神ダ1400～1800m</t>
        </is>
      </c>
      <c r="C41" s="1" t="inlineStr">
        <is>
          <t>父がドレフォン</t>
        </is>
      </c>
      <c r="D41" s="1" t="inlineStr">
        <is>
          <t>前走上がり（3F順位）4位以内</t>
        </is>
      </c>
      <c r="E41" s="1" t="inlineStr">
        <is>
          <t>17-11-9-44/81</t>
        </is>
      </c>
      <c r="F41" s="1" t="n">
        <v>21</v>
      </c>
      <c r="G41" s="1" t="n">
        <v>34.6</v>
      </c>
      <c r="H41" s="1" t="n">
        <v>45.7</v>
      </c>
      <c r="I41" s="1" t="n">
        <v>101</v>
      </c>
      <c r="J41" s="1" t="n">
        <v>161</v>
      </c>
      <c r="K41" s="1" t="n"/>
      <c r="L41" s="1" t="n"/>
      <c r="N41" t="inlineStr">
        <is>
          <t>053</t>
        </is>
      </c>
    </row>
    <row r="42">
      <c r="A42" s="1" t="inlineStr">
        <is>
          <t>054</t>
        </is>
      </c>
      <c r="B42" s="1" t="inlineStr">
        <is>
          <t>阪神ダ1800m</t>
        </is>
      </c>
      <c r="C42" s="1" t="inlineStr">
        <is>
          <t>父がキズナ</t>
        </is>
      </c>
      <c r="D42" s="1" t="inlineStr">
        <is>
          <t>3歳以下＋前走馬体重480kg以上</t>
        </is>
      </c>
      <c r="E42" s="1" t="inlineStr">
        <is>
          <t>11-14-8-17/50</t>
        </is>
      </c>
      <c r="F42" s="1" t="n">
        <v>22</v>
      </c>
      <c r="G42" s="1" t="n">
        <v>50</v>
      </c>
      <c r="H42" s="1" t="n">
        <v>66</v>
      </c>
      <c r="I42" s="1" t="n">
        <v>137</v>
      </c>
      <c r="J42" s="1" t="n">
        <v>192</v>
      </c>
      <c r="K42" s="1" t="n"/>
      <c r="L42" s="1" t="n"/>
      <c r="N42" t="inlineStr">
        <is>
          <t>054</t>
        </is>
      </c>
    </row>
    <row r="43">
      <c r="A43" s="1" t="inlineStr">
        <is>
          <t>055</t>
        </is>
      </c>
      <c r="B43" s="1" t="inlineStr">
        <is>
          <t>阪神ダ1800～2000m</t>
        </is>
      </c>
      <c r="C43" s="1" t="inlineStr">
        <is>
          <t>武豊騎手</t>
        </is>
      </c>
      <c r="D43" s="1" t="inlineStr">
        <is>
          <t>3歳以下＋性が牡・セ</t>
        </is>
      </c>
      <c r="E43" s="1" t="inlineStr">
        <is>
          <t>7-8-3-9/27</t>
        </is>
      </c>
      <c r="F43" s="1" t="n">
        <v>25.9</v>
      </c>
      <c r="G43" s="1" t="n">
        <v>55.6</v>
      </c>
      <c r="H43" s="1" t="n">
        <v>66.7</v>
      </c>
      <c r="I43" s="1" t="n">
        <v>153</v>
      </c>
      <c r="J43" s="1" t="n">
        <v>211</v>
      </c>
      <c r="K43" s="1" t="n"/>
      <c r="L43" s="1" t="n"/>
      <c r="N43" t="inlineStr">
        <is>
          <t>055</t>
        </is>
      </c>
    </row>
    <row r="44">
      <c r="A44" s="1" t="inlineStr">
        <is>
          <t>056</t>
        </is>
      </c>
      <c r="B44" s="1" t="inlineStr">
        <is>
          <t>阪神ダ1800～2000m</t>
        </is>
      </c>
      <c r="C44" s="1" t="inlineStr">
        <is>
          <t>M.デムーロ騎手</t>
        </is>
      </c>
      <c r="D44" s="1" t="inlineStr">
        <is>
          <t>3歳以下</t>
        </is>
      </c>
      <c r="E44" s="1" t="inlineStr">
        <is>
          <t>4-7-4-11/26</t>
        </is>
      </c>
      <c r="F44" s="1" t="n">
        <v>15.4</v>
      </c>
      <c r="G44" s="1" t="n">
        <v>42.3</v>
      </c>
      <c r="H44" s="1" t="n">
        <v>57.7</v>
      </c>
      <c r="I44" s="1" t="n">
        <v>31</v>
      </c>
      <c r="J44" s="1" t="n">
        <v>206</v>
      </c>
      <c r="K44" s="1" t="n"/>
      <c r="L44" s="1" t="n"/>
      <c r="N44" t="inlineStr">
        <is>
          <t>056</t>
        </is>
      </c>
    </row>
    <row r="45">
      <c r="A45" s="1" t="inlineStr">
        <is>
          <t>057</t>
        </is>
      </c>
      <c r="B45" s="1" t="inlineStr">
        <is>
          <t>阪神ダ1800～2000m</t>
        </is>
      </c>
      <c r="C45" s="1" t="inlineStr">
        <is>
          <t>横山典弘騎手</t>
        </is>
      </c>
      <c r="D45" s="1" t="inlineStr">
        <is>
          <t>馬番1～10＋9頭立て以上</t>
        </is>
      </c>
      <c r="E45" s="1" t="inlineStr">
        <is>
          <t>5-6-6-24/41</t>
        </is>
      </c>
      <c r="F45" s="1" t="n">
        <v>12.2</v>
      </c>
      <c r="G45" s="1" t="n">
        <v>26.8</v>
      </c>
      <c r="H45" s="1" t="n">
        <v>41.5</v>
      </c>
      <c r="I45" s="1" t="n">
        <v>67</v>
      </c>
      <c r="J45" s="1" t="n">
        <v>155</v>
      </c>
      <c r="K45" s="1" t="n"/>
      <c r="L45" s="1" t="n"/>
      <c r="N45" t="inlineStr">
        <is>
          <t>057</t>
        </is>
      </c>
    </row>
    <row r="46">
      <c r="A46" s="1" t="inlineStr">
        <is>
          <t>058</t>
        </is>
      </c>
      <c r="B46" s="1" t="inlineStr">
        <is>
          <t>阪神ダ2000m</t>
        </is>
      </c>
      <c r="C46" s="1" t="inlineStr">
        <is>
          <t>松山弘平騎手</t>
        </is>
      </c>
      <c r="D46" s="1" t="inlineStr">
        <is>
          <t>前走馬体重520kg未満</t>
        </is>
      </c>
      <c r="E46" s="1" t="inlineStr">
        <is>
          <t>5-6-4-8/23</t>
        </is>
      </c>
      <c r="F46" s="1" t="n">
        <v>21.7</v>
      </c>
      <c r="G46" s="1" t="n">
        <v>47.8</v>
      </c>
      <c r="H46" s="1" t="n">
        <v>65.2</v>
      </c>
      <c r="I46" s="1" t="n">
        <v>96</v>
      </c>
      <c r="J46" s="1" t="n">
        <v>160</v>
      </c>
      <c r="K46" s="1" t="n"/>
      <c r="L46" s="1" t="n"/>
      <c r="N46" t="inlineStr">
        <is>
          <t>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2026-02-14T11:56:31Z</dcterms:created>
  <dcterms:modified xmlns:dcterms="http://purl.org/dc/terms/" xmlns:xsi="http://www.w3.org/2001/XMLSchema-instance" xsi:type="dcterms:W3CDTF">2026-02-21T00:17:57Z</dcterms:modified>
  <cp:lastModifiedBy>Kubota Yoichi/久保田 洋一</cp:lastModifiedBy>
</cp:coreProperties>
</file>